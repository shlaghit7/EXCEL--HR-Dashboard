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3314BA621711E763B1A26D546C789D6942E4486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 Data" sheetId="1" r:id="rId1"/>
    <sheet name="KPI Summary" sheetId="2" r:id="rId2"/>
    <sheet name="Dashboar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</calcChain>
</file>

<file path=xl/sharedStrings.xml><?xml version="1.0" encoding="utf-8"?>
<sst xmlns="http://schemas.openxmlformats.org/spreadsheetml/2006/main" count="1022" uniqueCount="209">
  <si>
    <t>Employee ID</t>
  </si>
  <si>
    <t>Employee Name</t>
  </si>
  <si>
    <t>Department</t>
  </si>
  <si>
    <t>Job Role</t>
  </si>
  <si>
    <t>Location</t>
  </si>
  <si>
    <t>Date</t>
  </si>
  <si>
    <t>Month</t>
  </si>
  <si>
    <t>Attendance Status</t>
  </si>
  <si>
    <t>Working Hours</t>
  </si>
  <si>
    <t>Overtime Hours</t>
  </si>
  <si>
    <t>Tasks Completed</t>
  </si>
  <si>
    <t>Performance Score</t>
  </si>
  <si>
    <t>Target Tasks</t>
  </si>
  <si>
    <t>Achievement %</t>
  </si>
  <si>
    <t>Salary</t>
  </si>
  <si>
    <t>Bonus Eligibility</t>
  </si>
  <si>
    <t>Manager Rating</t>
  </si>
  <si>
    <t>Remarks</t>
  </si>
  <si>
    <t>E100</t>
  </si>
  <si>
    <t>Sneha</t>
  </si>
  <si>
    <t>Sales</t>
  </si>
  <si>
    <t>Associate</t>
  </si>
  <si>
    <t>Pune</t>
  </si>
  <si>
    <t>2025-01-14</t>
  </si>
  <si>
    <t>January</t>
  </si>
  <si>
    <t>Leave</t>
  </si>
  <si>
    <t>No</t>
  </si>
  <si>
    <t>Needs Improvement</t>
  </si>
  <si>
    <t>E101</t>
  </si>
  <si>
    <t>IT</t>
  </si>
  <si>
    <t>Executive</t>
  </si>
  <si>
    <t>Delhi</t>
  </si>
  <si>
    <t>2025-02-24</t>
  </si>
  <si>
    <t>February</t>
  </si>
  <si>
    <t>Present</t>
  </si>
  <si>
    <t>Yes</t>
  </si>
  <si>
    <t>Good</t>
  </si>
  <si>
    <t>E102</t>
  </si>
  <si>
    <t>Vikas</t>
  </si>
  <si>
    <t>Marketing</t>
  </si>
  <si>
    <t>Manager</t>
  </si>
  <si>
    <t>2025-03-02</t>
  </si>
  <si>
    <t>March</t>
  </si>
  <si>
    <t>WFH</t>
  </si>
  <si>
    <t>E103</t>
  </si>
  <si>
    <t>HR</t>
  </si>
  <si>
    <t>Developer</t>
  </si>
  <si>
    <t>Bangalore</t>
  </si>
  <si>
    <t>E104</t>
  </si>
  <si>
    <t>Anjali</t>
  </si>
  <si>
    <t>Mumbai</t>
  </si>
  <si>
    <t>2025-01-22</t>
  </si>
  <si>
    <t>E105</t>
  </si>
  <si>
    <t>Kavya</t>
  </si>
  <si>
    <t>2025-02-18</t>
  </si>
  <si>
    <t>E106</t>
  </si>
  <si>
    <t>2025-02-13</t>
  </si>
  <si>
    <t>E107</t>
  </si>
  <si>
    <t>Priya</t>
  </si>
  <si>
    <t>2025-01-21</t>
  </si>
  <si>
    <t>E108</t>
  </si>
  <si>
    <t>Rohit</t>
  </si>
  <si>
    <t>E109</t>
  </si>
  <si>
    <t>Neha</t>
  </si>
  <si>
    <t>Analyst</t>
  </si>
  <si>
    <t>2025-01-15</t>
  </si>
  <si>
    <t>E110</t>
  </si>
  <si>
    <t>2025-01-24</t>
  </si>
  <si>
    <t>E111</t>
  </si>
  <si>
    <t>Arjun</t>
  </si>
  <si>
    <t>Finance</t>
  </si>
  <si>
    <t>2025-01-05</t>
  </si>
  <si>
    <t>Absent</t>
  </si>
  <si>
    <t>E112</t>
  </si>
  <si>
    <t>2025-02-15</t>
  </si>
  <si>
    <t>E113</t>
  </si>
  <si>
    <t>2025-01-18</t>
  </si>
  <si>
    <t>E114</t>
  </si>
  <si>
    <t>2025-01-04</t>
  </si>
  <si>
    <t>E115</t>
  </si>
  <si>
    <t>2025-02-26</t>
  </si>
  <si>
    <t>E116</t>
  </si>
  <si>
    <t>2025-02-08</t>
  </si>
  <si>
    <t>E117</t>
  </si>
  <si>
    <t>2025-01-25</t>
  </si>
  <si>
    <t>E118</t>
  </si>
  <si>
    <t>2025-01-16</t>
  </si>
  <si>
    <t>E119</t>
  </si>
  <si>
    <t>2025-01-28</t>
  </si>
  <si>
    <t>E120</t>
  </si>
  <si>
    <t>Rahul</t>
  </si>
  <si>
    <t>E121</t>
  </si>
  <si>
    <t>2025-02-14</t>
  </si>
  <si>
    <t>E122</t>
  </si>
  <si>
    <t>2025-02-16</t>
  </si>
  <si>
    <t>E123</t>
  </si>
  <si>
    <t>E124</t>
  </si>
  <si>
    <t>2025-01-09</t>
  </si>
  <si>
    <t>E125</t>
  </si>
  <si>
    <t>2025-01-06</t>
  </si>
  <si>
    <t>E126</t>
  </si>
  <si>
    <t>Amit</t>
  </si>
  <si>
    <t>2025-01-17</t>
  </si>
  <si>
    <t>E127</t>
  </si>
  <si>
    <t>E128</t>
  </si>
  <si>
    <t>2025-02-22</t>
  </si>
  <si>
    <t>E129</t>
  </si>
  <si>
    <t>2025-01-01</t>
  </si>
  <si>
    <t>E130</t>
  </si>
  <si>
    <t>E131</t>
  </si>
  <si>
    <t>E132</t>
  </si>
  <si>
    <t>2025-01-10</t>
  </si>
  <si>
    <t>E133</t>
  </si>
  <si>
    <t>E134</t>
  </si>
  <si>
    <t>2025-01-19</t>
  </si>
  <si>
    <t>E135</t>
  </si>
  <si>
    <t>E136</t>
  </si>
  <si>
    <t>E137</t>
  </si>
  <si>
    <t>2025-03-01</t>
  </si>
  <si>
    <t>E138</t>
  </si>
  <si>
    <t>2025-01-08</t>
  </si>
  <si>
    <t>E139</t>
  </si>
  <si>
    <t>2025-01-31</t>
  </si>
  <si>
    <t>E140</t>
  </si>
  <si>
    <t>2025-01-30</t>
  </si>
  <si>
    <t>E141</t>
  </si>
  <si>
    <t>E142</t>
  </si>
  <si>
    <t>E143</t>
  </si>
  <si>
    <t>2025-02-25</t>
  </si>
  <si>
    <t>E144</t>
  </si>
  <si>
    <t>2025-02-09</t>
  </si>
  <si>
    <t>E145</t>
  </si>
  <si>
    <t>E146</t>
  </si>
  <si>
    <t>E147</t>
  </si>
  <si>
    <t>2025-01-12</t>
  </si>
  <si>
    <t>E148</t>
  </si>
  <si>
    <t>2025-02-17</t>
  </si>
  <si>
    <t>E149</t>
  </si>
  <si>
    <t>2025-02-27</t>
  </si>
  <si>
    <t>E150</t>
  </si>
  <si>
    <t>2025-01-26</t>
  </si>
  <si>
    <t>E151</t>
  </si>
  <si>
    <t>2025-01-11</t>
  </si>
  <si>
    <t>E152</t>
  </si>
  <si>
    <t>E153</t>
  </si>
  <si>
    <t>2025-02-20</t>
  </si>
  <si>
    <t>E154</t>
  </si>
  <si>
    <t>E155</t>
  </si>
  <si>
    <t>E156</t>
  </si>
  <si>
    <t>E157</t>
  </si>
  <si>
    <t>2025-01-07</t>
  </si>
  <si>
    <t>E158</t>
  </si>
  <si>
    <t>E159</t>
  </si>
  <si>
    <t>E160</t>
  </si>
  <si>
    <t>E161</t>
  </si>
  <si>
    <t>2025-02-06</t>
  </si>
  <si>
    <t>E162</t>
  </si>
  <si>
    <t>E163</t>
  </si>
  <si>
    <t>2025-02-11</t>
  </si>
  <si>
    <t>E164</t>
  </si>
  <si>
    <t>2025-02-28</t>
  </si>
  <si>
    <t>E165</t>
  </si>
  <si>
    <t>2025-01-23</t>
  </si>
  <si>
    <t>E166</t>
  </si>
  <si>
    <t>E167</t>
  </si>
  <si>
    <t>E168</t>
  </si>
  <si>
    <t>E169</t>
  </si>
  <si>
    <t>2025-02-01</t>
  </si>
  <si>
    <t>E170</t>
  </si>
  <si>
    <t>E171</t>
  </si>
  <si>
    <t>E172</t>
  </si>
  <si>
    <t>2025-01-03</t>
  </si>
  <si>
    <t>E173</t>
  </si>
  <si>
    <t>2025-02-04</t>
  </si>
  <si>
    <t>E174</t>
  </si>
  <si>
    <t>2025-01-29</t>
  </si>
  <si>
    <t>E175</t>
  </si>
  <si>
    <t>E176</t>
  </si>
  <si>
    <t>E177</t>
  </si>
  <si>
    <t>E178</t>
  </si>
  <si>
    <t>E179</t>
  </si>
  <si>
    <t>E180</t>
  </si>
  <si>
    <t>E181</t>
  </si>
  <si>
    <t>E182</t>
  </si>
  <si>
    <t>2025-02-10</t>
  </si>
  <si>
    <t>E183</t>
  </si>
  <si>
    <t>E184</t>
  </si>
  <si>
    <t>2025-01-02</t>
  </si>
  <si>
    <t>E185</t>
  </si>
  <si>
    <t>E186</t>
  </si>
  <si>
    <t>E187</t>
  </si>
  <si>
    <t>2025-01-13</t>
  </si>
  <si>
    <t>E188</t>
  </si>
  <si>
    <t>E189</t>
  </si>
  <si>
    <t>E190</t>
  </si>
  <si>
    <t>E191</t>
  </si>
  <si>
    <t>E192</t>
  </si>
  <si>
    <t>E193</t>
  </si>
  <si>
    <t>E194</t>
  </si>
  <si>
    <t>2025-02-07</t>
  </si>
  <si>
    <t>E195</t>
  </si>
  <si>
    <t>E196</t>
  </si>
  <si>
    <t>E197</t>
  </si>
  <si>
    <t>E198</t>
  </si>
  <si>
    <t>E199</t>
  </si>
  <si>
    <t>Total Employees</t>
  </si>
  <si>
    <t>Avg Performance</t>
  </si>
  <si>
    <t>Total Tasks</t>
  </si>
  <si>
    <t>Avg Achievement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</si>
</sst>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Performance Score Sample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'Raw Data'!L1</c:f>
              <c:strCache>
                <c:ptCount val="1"/>
                <c:pt idx="0">
                  <c:v>Performance Score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'Raw Data'!$L$2:$L$20</c:f>
              <c:numCache>
                <c:formatCode>General</c:formatCode>
                <c:ptCount val="19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3</c:v>
                </c:pt>
                <c:pt idx="5">
                  <c:v>9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  <c:pt idx="12">
                  <c:v>10</c:v>
                </c:pt>
                <c:pt idx="13">
                  <c:v>8</c:v>
                </c:pt>
                <c:pt idx="14">
                  <c:v>9</c:v>
                </c:pt>
                <c:pt idx="15">
                  <c:v>1</c:v>
                </c:pt>
                <c:pt idx="16">
                  <c:v>8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3-2042-AC92-54D0FD624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/>
  </sheetViews>
  <sheetFormatPr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7</v>
      </c>
      <c r="J2">
        <v>2</v>
      </c>
      <c r="K2">
        <v>8</v>
      </c>
      <c r="L2">
        <v>4</v>
      </c>
      <c r="M2">
        <v>12</v>
      </c>
      <c r="N2">
        <v>0.67</v>
      </c>
      <c r="O2">
        <v>20700</v>
      </c>
      <c r="P2" t="s">
        <v>26</v>
      </c>
      <c r="Q2">
        <v>1</v>
      </c>
      <c r="R2" t="s">
        <v>27</v>
      </c>
    </row>
    <row r="3" spans="1:18" x14ac:dyDescent="0.2">
      <c r="A3" t="s">
        <v>28</v>
      </c>
      <c r="B3" t="s">
        <v>19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6</v>
      </c>
      <c r="J3">
        <v>2</v>
      </c>
      <c r="K3">
        <v>16</v>
      </c>
      <c r="L3">
        <v>8</v>
      </c>
      <c r="M3">
        <v>13</v>
      </c>
      <c r="N3">
        <v>1.23</v>
      </c>
      <c r="O3">
        <v>56025</v>
      </c>
      <c r="P3" t="s">
        <v>35</v>
      </c>
      <c r="Q3">
        <v>2</v>
      </c>
      <c r="R3" t="s">
        <v>36</v>
      </c>
    </row>
    <row r="4" spans="1:18" x14ac:dyDescent="0.2">
      <c r="A4" t="s">
        <v>37</v>
      </c>
      <c r="B4" t="s">
        <v>38</v>
      </c>
      <c r="C4" t="s">
        <v>39</v>
      </c>
      <c r="D4" t="s">
        <v>40</v>
      </c>
      <c r="E4" t="s">
        <v>22</v>
      </c>
      <c r="F4" t="s">
        <v>41</v>
      </c>
      <c r="G4" t="s">
        <v>42</v>
      </c>
      <c r="H4" t="s">
        <v>43</v>
      </c>
      <c r="I4">
        <v>6</v>
      </c>
      <c r="J4">
        <v>0</v>
      </c>
      <c r="K4">
        <v>17</v>
      </c>
      <c r="L4">
        <v>8</v>
      </c>
      <c r="M4">
        <v>16</v>
      </c>
      <c r="N4">
        <v>1.06</v>
      </c>
      <c r="O4">
        <v>25337</v>
      </c>
      <c r="P4" t="s">
        <v>35</v>
      </c>
      <c r="Q4">
        <v>3</v>
      </c>
      <c r="R4" t="s">
        <v>36</v>
      </c>
    </row>
    <row r="5" spans="1:18" x14ac:dyDescent="0.2">
      <c r="A5" t="s">
        <v>44</v>
      </c>
      <c r="B5" t="s">
        <v>19</v>
      </c>
      <c r="C5" t="s">
        <v>45</v>
      </c>
      <c r="D5" t="s">
        <v>46</v>
      </c>
      <c r="E5" t="s">
        <v>47</v>
      </c>
      <c r="F5" t="s">
        <v>41</v>
      </c>
      <c r="G5" t="s">
        <v>42</v>
      </c>
      <c r="H5" t="s">
        <v>34</v>
      </c>
      <c r="I5">
        <v>6</v>
      </c>
      <c r="J5">
        <v>1</v>
      </c>
      <c r="K5">
        <v>14</v>
      </c>
      <c r="L5">
        <v>9</v>
      </c>
      <c r="M5">
        <v>10</v>
      </c>
      <c r="N5">
        <v>1.4</v>
      </c>
      <c r="O5">
        <v>47281</v>
      </c>
      <c r="P5" t="s">
        <v>35</v>
      </c>
      <c r="Q5">
        <v>5</v>
      </c>
      <c r="R5" t="s">
        <v>36</v>
      </c>
    </row>
    <row r="6" spans="1:18" x14ac:dyDescent="0.2">
      <c r="A6" t="s">
        <v>48</v>
      </c>
      <c r="B6" t="s">
        <v>49</v>
      </c>
      <c r="C6" t="s">
        <v>39</v>
      </c>
      <c r="D6" t="s">
        <v>21</v>
      </c>
      <c r="E6" t="s">
        <v>50</v>
      </c>
      <c r="F6" t="s">
        <v>51</v>
      </c>
      <c r="G6" t="s">
        <v>24</v>
      </c>
      <c r="H6" t="s">
        <v>34</v>
      </c>
      <c r="I6">
        <v>8</v>
      </c>
      <c r="J6">
        <v>3</v>
      </c>
      <c r="K6">
        <v>11</v>
      </c>
      <c r="L6">
        <v>3</v>
      </c>
      <c r="M6">
        <v>17</v>
      </c>
      <c r="N6">
        <v>0.65</v>
      </c>
      <c r="O6">
        <v>41121</v>
      </c>
      <c r="P6" t="s">
        <v>26</v>
      </c>
      <c r="Q6">
        <v>4</v>
      </c>
      <c r="R6" t="s">
        <v>27</v>
      </c>
    </row>
    <row r="7" spans="1:18" x14ac:dyDescent="0.2">
      <c r="A7" t="s">
        <v>52</v>
      </c>
      <c r="B7" t="s">
        <v>53</v>
      </c>
      <c r="C7" t="s">
        <v>29</v>
      </c>
      <c r="D7" t="s">
        <v>46</v>
      </c>
      <c r="E7" t="s">
        <v>47</v>
      </c>
      <c r="F7" t="s">
        <v>54</v>
      </c>
      <c r="G7" t="s">
        <v>33</v>
      </c>
      <c r="H7" t="s">
        <v>34</v>
      </c>
      <c r="I7">
        <v>10</v>
      </c>
      <c r="J7">
        <v>1</v>
      </c>
      <c r="K7">
        <v>8</v>
      </c>
      <c r="L7">
        <v>9</v>
      </c>
      <c r="M7">
        <v>17</v>
      </c>
      <c r="N7">
        <v>0.47</v>
      </c>
      <c r="O7">
        <v>65278</v>
      </c>
      <c r="P7" t="s">
        <v>35</v>
      </c>
      <c r="Q7">
        <v>1</v>
      </c>
      <c r="R7" t="s">
        <v>36</v>
      </c>
    </row>
    <row r="8" spans="1:18" x14ac:dyDescent="0.2">
      <c r="A8" t="s">
        <v>55</v>
      </c>
      <c r="B8" t="s">
        <v>49</v>
      </c>
      <c r="C8" t="s">
        <v>45</v>
      </c>
      <c r="D8" t="s">
        <v>40</v>
      </c>
      <c r="E8" t="s">
        <v>22</v>
      </c>
      <c r="F8" t="s">
        <v>56</v>
      </c>
      <c r="G8" t="s">
        <v>33</v>
      </c>
      <c r="H8" t="s">
        <v>43</v>
      </c>
      <c r="I8">
        <v>9</v>
      </c>
      <c r="J8">
        <v>3</v>
      </c>
      <c r="K8">
        <v>8</v>
      </c>
      <c r="L8">
        <v>9</v>
      </c>
      <c r="M8">
        <v>12</v>
      </c>
      <c r="N8">
        <v>0.67</v>
      </c>
      <c r="O8">
        <v>21207</v>
      </c>
      <c r="P8" t="s">
        <v>35</v>
      </c>
      <c r="Q8">
        <v>4</v>
      </c>
      <c r="R8" t="s">
        <v>36</v>
      </c>
    </row>
    <row r="9" spans="1:18" x14ac:dyDescent="0.2">
      <c r="A9" t="s">
        <v>57</v>
      </c>
      <c r="B9" t="s">
        <v>58</v>
      </c>
      <c r="C9" t="s">
        <v>39</v>
      </c>
      <c r="D9" t="s">
        <v>46</v>
      </c>
      <c r="E9" t="s">
        <v>47</v>
      </c>
      <c r="F9" t="s">
        <v>59</v>
      </c>
      <c r="G9" t="s">
        <v>24</v>
      </c>
      <c r="H9" t="s">
        <v>34</v>
      </c>
      <c r="I9">
        <v>8</v>
      </c>
      <c r="J9">
        <v>0</v>
      </c>
      <c r="K9">
        <v>11</v>
      </c>
      <c r="L9">
        <v>3</v>
      </c>
      <c r="M9">
        <v>12</v>
      </c>
      <c r="N9">
        <v>0.92</v>
      </c>
      <c r="O9">
        <v>74987</v>
      </c>
      <c r="P9" t="s">
        <v>26</v>
      </c>
      <c r="Q9">
        <v>1</v>
      </c>
      <c r="R9" t="s">
        <v>27</v>
      </c>
    </row>
    <row r="10" spans="1:18" x14ac:dyDescent="0.2">
      <c r="A10" t="s">
        <v>60</v>
      </c>
      <c r="B10" t="s">
        <v>61</v>
      </c>
      <c r="C10" t="s">
        <v>39</v>
      </c>
      <c r="D10" t="s">
        <v>30</v>
      </c>
      <c r="E10" t="s">
        <v>31</v>
      </c>
      <c r="F10" t="s">
        <v>51</v>
      </c>
      <c r="G10" t="s">
        <v>24</v>
      </c>
      <c r="H10" t="s">
        <v>43</v>
      </c>
      <c r="I10">
        <v>10</v>
      </c>
      <c r="J10">
        <v>0</v>
      </c>
      <c r="K10">
        <v>16</v>
      </c>
      <c r="L10">
        <v>4</v>
      </c>
      <c r="M10">
        <v>11</v>
      </c>
      <c r="N10">
        <v>1.45</v>
      </c>
      <c r="O10">
        <v>41988</v>
      </c>
      <c r="P10" t="s">
        <v>26</v>
      </c>
      <c r="Q10">
        <v>3</v>
      </c>
      <c r="R10" t="s">
        <v>27</v>
      </c>
    </row>
    <row r="11" spans="1:18" x14ac:dyDescent="0.2">
      <c r="A11" t="s">
        <v>62</v>
      </c>
      <c r="B11" t="s">
        <v>63</v>
      </c>
      <c r="C11" t="s">
        <v>45</v>
      </c>
      <c r="D11" t="s">
        <v>64</v>
      </c>
      <c r="E11" t="s">
        <v>50</v>
      </c>
      <c r="F11" t="s">
        <v>65</v>
      </c>
      <c r="G11" t="s">
        <v>24</v>
      </c>
      <c r="H11" t="s">
        <v>34</v>
      </c>
      <c r="I11">
        <v>6</v>
      </c>
      <c r="J11">
        <v>3</v>
      </c>
      <c r="K11">
        <v>19</v>
      </c>
      <c r="L11">
        <v>2</v>
      </c>
      <c r="M11">
        <v>11</v>
      </c>
      <c r="N11">
        <v>1.73</v>
      </c>
      <c r="O11">
        <v>70137</v>
      </c>
      <c r="P11" t="s">
        <v>26</v>
      </c>
      <c r="Q11">
        <v>5</v>
      </c>
      <c r="R11" t="s">
        <v>27</v>
      </c>
    </row>
    <row r="12" spans="1:18" x14ac:dyDescent="0.2">
      <c r="A12" t="s">
        <v>66</v>
      </c>
      <c r="B12" t="s">
        <v>58</v>
      </c>
      <c r="C12" t="s">
        <v>45</v>
      </c>
      <c r="D12" t="s">
        <v>21</v>
      </c>
      <c r="E12" t="s">
        <v>31</v>
      </c>
      <c r="F12" t="s">
        <v>67</v>
      </c>
      <c r="G12" t="s">
        <v>24</v>
      </c>
      <c r="H12" t="s">
        <v>25</v>
      </c>
      <c r="I12">
        <v>8</v>
      </c>
      <c r="J12">
        <v>2</v>
      </c>
      <c r="K12">
        <v>16</v>
      </c>
      <c r="L12">
        <v>1</v>
      </c>
      <c r="M12">
        <v>15</v>
      </c>
      <c r="N12">
        <v>1.07</v>
      </c>
      <c r="O12">
        <v>67552</v>
      </c>
      <c r="P12" t="s">
        <v>26</v>
      </c>
      <c r="Q12">
        <v>5</v>
      </c>
      <c r="R12" t="s">
        <v>27</v>
      </c>
    </row>
    <row r="13" spans="1:18" x14ac:dyDescent="0.2">
      <c r="A13" t="s">
        <v>68</v>
      </c>
      <c r="B13" t="s">
        <v>69</v>
      </c>
      <c r="C13" t="s">
        <v>70</v>
      </c>
      <c r="D13" t="s">
        <v>40</v>
      </c>
      <c r="E13" t="s">
        <v>50</v>
      </c>
      <c r="F13" t="s">
        <v>71</v>
      </c>
      <c r="G13" t="s">
        <v>24</v>
      </c>
      <c r="H13" t="s">
        <v>72</v>
      </c>
      <c r="I13">
        <v>9</v>
      </c>
      <c r="J13">
        <v>1</v>
      </c>
      <c r="K13">
        <v>19</v>
      </c>
      <c r="L13">
        <v>8</v>
      </c>
      <c r="M13">
        <v>12</v>
      </c>
      <c r="N13">
        <v>1.58</v>
      </c>
      <c r="O13">
        <v>49591</v>
      </c>
      <c r="P13" t="s">
        <v>35</v>
      </c>
      <c r="Q13">
        <v>1</v>
      </c>
      <c r="R13" t="s">
        <v>36</v>
      </c>
    </row>
    <row r="14" spans="1:18" x14ac:dyDescent="0.2">
      <c r="A14" t="s">
        <v>73</v>
      </c>
      <c r="B14" t="s">
        <v>38</v>
      </c>
      <c r="C14" t="s">
        <v>20</v>
      </c>
      <c r="D14" t="s">
        <v>40</v>
      </c>
      <c r="E14" t="s">
        <v>31</v>
      </c>
      <c r="F14" t="s">
        <v>74</v>
      </c>
      <c r="G14" t="s">
        <v>33</v>
      </c>
      <c r="H14" t="s">
        <v>43</v>
      </c>
      <c r="I14">
        <v>8</v>
      </c>
      <c r="J14">
        <v>2</v>
      </c>
      <c r="K14">
        <v>19</v>
      </c>
      <c r="L14">
        <v>10</v>
      </c>
      <c r="M14">
        <v>18</v>
      </c>
      <c r="N14">
        <v>1.06</v>
      </c>
      <c r="O14">
        <v>73280</v>
      </c>
      <c r="P14" t="s">
        <v>35</v>
      </c>
      <c r="Q14">
        <v>2</v>
      </c>
      <c r="R14" t="s">
        <v>36</v>
      </c>
    </row>
    <row r="15" spans="1:18" x14ac:dyDescent="0.2">
      <c r="A15" t="s">
        <v>75</v>
      </c>
      <c r="B15" t="s">
        <v>58</v>
      </c>
      <c r="C15" t="s">
        <v>39</v>
      </c>
      <c r="D15" t="s">
        <v>64</v>
      </c>
      <c r="E15" t="s">
        <v>22</v>
      </c>
      <c r="F15" t="s">
        <v>76</v>
      </c>
      <c r="G15" t="s">
        <v>24</v>
      </c>
      <c r="H15" t="s">
        <v>72</v>
      </c>
      <c r="I15">
        <v>8</v>
      </c>
      <c r="J15">
        <v>3</v>
      </c>
      <c r="K15">
        <v>13</v>
      </c>
      <c r="L15">
        <v>8</v>
      </c>
      <c r="M15">
        <v>13</v>
      </c>
      <c r="N15">
        <v>1</v>
      </c>
      <c r="O15">
        <v>20220</v>
      </c>
      <c r="P15" t="s">
        <v>35</v>
      </c>
      <c r="Q15">
        <v>2</v>
      </c>
      <c r="R15" t="s">
        <v>36</v>
      </c>
    </row>
    <row r="16" spans="1:18" x14ac:dyDescent="0.2">
      <c r="A16" t="s">
        <v>77</v>
      </c>
      <c r="B16" t="s">
        <v>38</v>
      </c>
      <c r="C16" t="s">
        <v>39</v>
      </c>
      <c r="D16" t="s">
        <v>21</v>
      </c>
      <c r="E16" t="s">
        <v>22</v>
      </c>
      <c r="F16" t="s">
        <v>78</v>
      </c>
      <c r="G16" t="s">
        <v>24</v>
      </c>
      <c r="H16" t="s">
        <v>34</v>
      </c>
      <c r="I16">
        <v>7</v>
      </c>
      <c r="J16">
        <v>0</v>
      </c>
      <c r="K16">
        <v>16</v>
      </c>
      <c r="L16">
        <v>9</v>
      </c>
      <c r="M16">
        <v>14</v>
      </c>
      <c r="N16">
        <v>1.1399999999999999</v>
      </c>
      <c r="O16">
        <v>39883</v>
      </c>
      <c r="P16" t="s">
        <v>35</v>
      </c>
      <c r="Q16">
        <v>3</v>
      </c>
      <c r="R16" t="s">
        <v>36</v>
      </c>
    </row>
    <row r="17" spans="1:18" x14ac:dyDescent="0.2">
      <c r="A17" t="s">
        <v>79</v>
      </c>
      <c r="B17" t="s">
        <v>69</v>
      </c>
      <c r="C17" t="s">
        <v>70</v>
      </c>
      <c r="D17" t="s">
        <v>46</v>
      </c>
      <c r="E17" t="s">
        <v>50</v>
      </c>
      <c r="F17" t="s">
        <v>80</v>
      </c>
      <c r="G17" t="s">
        <v>33</v>
      </c>
      <c r="H17" t="s">
        <v>25</v>
      </c>
      <c r="I17">
        <v>6</v>
      </c>
      <c r="J17">
        <v>2</v>
      </c>
      <c r="K17">
        <v>9</v>
      </c>
      <c r="L17">
        <v>1</v>
      </c>
      <c r="M17">
        <v>15</v>
      </c>
      <c r="N17">
        <v>0.6</v>
      </c>
      <c r="O17">
        <v>75080</v>
      </c>
      <c r="P17" t="s">
        <v>26</v>
      </c>
      <c r="Q17">
        <v>2</v>
      </c>
      <c r="R17" t="s">
        <v>27</v>
      </c>
    </row>
    <row r="18" spans="1:18" x14ac:dyDescent="0.2">
      <c r="A18" t="s">
        <v>81</v>
      </c>
      <c r="B18" t="s">
        <v>38</v>
      </c>
      <c r="C18" t="s">
        <v>20</v>
      </c>
      <c r="D18" t="s">
        <v>64</v>
      </c>
      <c r="E18" t="s">
        <v>50</v>
      </c>
      <c r="F18" t="s">
        <v>82</v>
      </c>
      <c r="G18" t="s">
        <v>33</v>
      </c>
      <c r="H18" t="s">
        <v>72</v>
      </c>
      <c r="I18">
        <v>9</v>
      </c>
      <c r="J18">
        <v>0</v>
      </c>
      <c r="K18">
        <v>20</v>
      </c>
      <c r="L18">
        <v>8</v>
      </c>
      <c r="M18">
        <v>20</v>
      </c>
      <c r="N18">
        <v>1</v>
      </c>
      <c r="O18">
        <v>42525</v>
      </c>
      <c r="P18" t="s">
        <v>35</v>
      </c>
      <c r="Q18">
        <v>5</v>
      </c>
      <c r="R18" t="s">
        <v>36</v>
      </c>
    </row>
    <row r="19" spans="1:18" x14ac:dyDescent="0.2">
      <c r="A19" t="s">
        <v>83</v>
      </c>
      <c r="B19" t="s">
        <v>61</v>
      </c>
      <c r="C19" t="s">
        <v>70</v>
      </c>
      <c r="D19" t="s">
        <v>40</v>
      </c>
      <c r="E19" t="s">
        <v>50</v>
      </c>
      <c r="F19" t="s">
        <v>84</v>
      </c>
      <c r="G19" t="s">
        <v>24</v>
      </c>
      <c r="H19" t="s">
        <v>25</v>
      </c>
      <c r="I19">
        <v>7</v>
      </c>
      <c r="J19">
        <v>0</v>
      </c>
      <c r="K19">
        <v>11</v>
      </c>
      <c r="L19">
        <v>1</v>
      </c>
      <c r="M19">
        <v>12</v>
      </c>
      <c r="N19">
        <v>0.92</v>
      </c>
      <c r="O19">
        <v>61487</v>
      </c>
      <c r="P19" t="s">
        <v>26</v>
      </c>
      <c r="Q19">
        <v>5</v>
      </c>
      <c r="R19" t="s">
        <v>27</v>
      </c>
    </row>
    <row r="20" spans="1:18" x14ac:dyDescent="0.2">
      <c r="A20" t="s">
        <v>85</v>
      </c>
      <c r="B20" t="s">
        <v>19</v>
      </c>
      <c r="C20" t="s">
        <v>70</v>
      </c>
      <c r="D20" t="s">
        <v>40</v>
      </c>
      <c r="E20" t="s">
        <v>47</v>
      </c>
      <c r="F20" t="s">
        <v>86</v>
      </c>
      <c r="G20" t="s">
        <v>24</v>
      </c>
      <c r="H20" t="s">
        <v>34</v>
      </c>
      <c r="I20">
        <v>6</v>
      </c>
      <c r="J20">
        <v>1</v>
      </c>
      <c r="K20">
        <v>5</v>
      </c>
      <c r="L20">
        <v>2</v>
      </c>
      <c r="M20">
        <v>14</v>
      </c>
      <c r="N20">
        <v>0.36</v>
      </c>
      <c r="O20">
        <v>64631</v>
      </c>
      <c r="P20" t="s">
        <v>26</v>
      </c>
      <c r="Q20">
        <v>4</v>
      </c>
      <c r="R20" t="s">
        <v>27</v>
      </c>
    </row>
    <row r="21" spans="1:18" x14ac:dyDescent="0.2">
      <c r="A21" t="s">
        <v>87</v>
      </c>
      <c r="B21" t="s">
        <v>63</v>
      </c>
      <c r="C21" t="s">
        <v>70</v>
      </c>
      <c r="D21" t="s">
        <v>64</v>
      </c>
      <c r="E21" t="s">
        <v>50</v>
      </c>
      <c r="F21" t="s">
        <v>88</v>
      </c>
      <c r="G21" t="s">
        <v>24</v>
      </c>
      <c r="H21" t="s">
        <v>25</v>
      </c>
      <c r="I21">
        <v>6</v>
      </c>
      <c r="J21">
        <v>0</v>
      </c>
      <c r="K21">
        <v>8</v>
      </c>
      <c r="L21">
        <v>6</v>
      </c>
      <c r="M21">
        <v>17</v>
      </c>
      <c r="N21">
        <v>0.47</v>
      </c>
      <c r="O21">
        <v>41777</v>
      </c>
      <c r="P21" t="s">
        <v>26</v>
      </c>
      <c r="Q21">
        <v>1</v>
      </c>
      <c r="R21" t="s">
        <v>27</v>
      </c>
    </row>
    <row r="22" spans="1:18" x14ac:dyDescent="0.2">
      <c r="A22" t="s">
        <v>89</v>
      </c>
      <c r="B22" t="s">
        <v>90</v>
      </c>
      <c r="C22" t="s">
        <v>20</v>
      </c>
      <c r="D22" t="s">
        <v>21</v>
      </c>
      <c r="E22" t="s">
        <v>22</v>
      </c>
      <c r="F22" t="s">
        <v>71</v>
      </c>
      <c r="G22" t="s">
        <v>24</v>
      </c>
      <c r="H22" t="s">
        <v>25</v>
      </c>
      <c r="I22">
        <v>10</v>
      </c>
      <c r="J22">
        <v>3</v>
      </c>
      <c r="K22">
        <v>16</v>
      </c>
      <c r="L22">
        <v>8</v>
      </c>
      <c r="M22">
        <v>19</v>
      </c>
      <c r="N22">
        <v>0.84</v>
      </c>
      <c r="O22">
        <v>45499</v>
      </c>
      <c r="P22" t="s">
        <v>35</v>
      </c>
      <c r="Q22">
        <v>5</v>
      </c>
      <c r="R22" t="s">
        <v>36</v>
      </c>
    </row>
    <row r="23" spans="1:18" x14ac:dyDescent="0.2">
      <c r="A23" t="s">
        <v>91</v>
      </c>
      <c r="B23" t="s">
        <v>38</v>
      </c>
      <c r="C23" t="s">
        <v>20</v>
      </c>
      <c r="D23" t="s">
        <v>64</v>
      </c>
      <c r="E23" t="s">
        <v>47</v>
      </c>
      <c r="F23" t="s">
        <v>92</v>
      </c>
      <c r="G23" t="s">
        <v>33</v>
      </c>
      <c r="H23" t="s">
        <v>25</v>
      </c>
      <c r="I23">
        <v>9</v>
      </c>
      <c r="J23">
        <v>0</v>
      </c>
      <c r="K23">
        <v>10</v>
      </c>
      <c r="L23">
        <v>7</v>
      </c>
      <c r="M23">
        <v>17</v>
      </c>
      <c r="N23">
        <v>0.59</v>
      </c>
      <c r="O23">
        <v>31424</v>
      </c>
      <c r="P23" t="s">
        <v>35</v>
      </c>
      <c r="Q23">
        <v>3</v>
      </c>
      <c r="R23" t="s">
        <v>36</v>
      </c>
    </row>
    <row r="24" spans="1:18" x14ac:dyDescent="0.2">
      <c r="A24" t="s">
        <v>93</v>
      </c>
      <c r="B24" t="s">
        <v>69</v>
      </c>
      <c r="C24" t="s">
        <v>20</v>
      </c>
      <c r="D24" t="s">
        <v>40</v>
      </c>
      <c r="E24" t="s">
        <v>31</v>
      </c>
      <c r="F24" t="s">
        <v>94</v>
      </c>
      <c r="G24" t="s">
        <v>33</v>
      </c>
      <c r="H24" t="s">
        <v>72</v>
      </c>
      <c r="I24">
        <v>8</v>
      </c>
      <c r="J24">
        <v>3</v>
      </c>
      <c r="K24">
        <v>18</v>
      </c>
      <c r="L24">
        <v>1</v>
      </c>
      <c r="M24">
        <v>11</v>
      </c>
      <c r="N24">
        <v>1.64</v>
      </c>
      <c r="O24">
        <v>69759</v>
      </c>
      <c r="P24" t="s">
        <v>26</v>
      </c>
      <c r="Q24">
        <v>1</v>
      </c>
      <c r="R24" t="s">
        <v>27</v>
      </c>
    </row>
    <row r="25" spans="1:18" x14ac:dyDescent="0.2">
      <c r="A25" t="s">
        <v>95</v>
      </c>
      <c r="B25" t="s">
        <v>38</v>
      </c>
      <c r="C25" t="s">
        <v>45</v>
      </c>
      <c r="D25" t="s">
        <v>30</v>
      </c>
      <c r="E25" t="s">
        <v>47</v>
      </c>
      <c r="F25" t="s">
        <v>67</v>
      </c>
      <c r="G25" t="s">
        <v>24</v>
      </c>
      <c r="H25" t="s">
        <v>25</v>
      </c>
      <c r="I25">
        <v>6</v>
      </c>
      <c r="J25">
        <v>2</v>
      </c>
      <c r="K25">
        <v>10</v>
      </c>
      <c r="L25">
        <v>9</v>
      </c>
      <c r="M25">
        <v>10</v>
      </c>
      <c r="N25">
        <v>1</v>
      </c>
      <c r="O25">
        <v>31625</v>
      </c>
      <c r="P25" t="s">
        <v>35</v>
      </c>
      <c r="Q25">
        <v>3</v>
      </c>
      <c r="R25" t="s">
        <v>36</v>
      </c>
    </row>
    <row r="26" spans="1:18" x14ac:dyDescent="0.2">
      <c r="A26" t="s">
        <v>96</v>
      </c>
      <c r="B26" t="s">
        <v>58</v>
      </c>
      <c r="C26" t="s">
        <v>70</v>
      </c>
      <c r="D26" t="s">
        <v>21</v>
      </c>
      <c r="E26" t="s">
        <v>31</v>
      </c>
      <c r="F26" t="s">
        <v>97</v>
      </c>
      <c r="G26" t="s">
        <v>24</v>
      </c>
      <c r="H26" t="s">
        <v>43</v>
      </c>
      <c r="I26">
        <v>9</v>
      </c>
      <c r="J26">
        <v>1</v>
      </c>
      <c r="K26">
        <v>9</v>
      </c>
      <c r="L26">
        <v>6</v>
      </c>
      <c r="M26">
        <v>14</v>
      </c>
      <c r="N26">
        <v>0.64</v>
      </c>
      <c r="O26">
        <v>68716</v>
      </c>
      <c r="P26" t="s">
        <v>26</v>
      </c>
      <c r="Q26">
        <v>2</v>
      </c>
      <c r="R26" t="s">
        <v>27</v>
      </c>
    </row>
    <row r="27" spans="1:18" x14ac:dyDescent="0.2">
      <c r="A27" t="s">
        <v>98</v>
      </c>
      <c r="B27" t="s">
        <v>90</v>
      </c>
      <c r="C27" t="s">
        <v>39</v>
      </c>
      <c r="D27" t="s">
        <v>40</v>
      </c>
      <c r="E27" t="s">
        <v>47</v>
      </c>
      <c r="F27" t="s">
        <v>99</v>
      </c>
      <c r="G27" t="s">
        <v>24</v>
      </c>
      <c r="H27" t="s">
        <v>25</v>
      </c>
      <c r="I27">
        <v>10</v>
      </c>
      <c r="J27">
        <v>0</v>
      </c>
      <c r="K27">
        <v>17</v>
      </c>
      <c r="L27">
        <v>10</v>
      </c>
      <c r="M27">
        <v>13</v>
      </c>
      <c r="N27">
        <v>1.31</v>
      </c>
      <c r="O27">
        <v>40054</v>
      </c>
      <c r="P27" t="s">
        <v>35</v>
      </c>
      <c r="Q27">
        <v>1</v>
      </c>
      <c r="R27" t="s">
        <v>36</v>
      </c>
    </row>
    <row r="28" spans="1:18" x14ac:dyDescent="0.2">
      <c r="A28" t="s">
        <v>100</v>
      </c>
      <c r="B28" t="s">
        <v>101</v>
      </c>
      <c r="C28" t="s">
        <v>70</v>
      </c>
      <c r="D28" t="s">
        <v>46</v>
      </c>
      <c r="E28" t="s">
        <v>47</v>
      </c>
      <c r="F28" t="s">
        <v>102</v>
      </c>
      <c r="G28" t="s">
        <v>24</v>
      </c>
      <c r="H28" t="s">
        <v>72</v>
      </c>
      <c r="I28">
        <v>9</v>
      </c>
      <c r="J28">
        <v>1</v>
      </c>
      <c r="K28">
        <v>12</v>
      </c>
      <c r="L28">
        <v>4</v>
      </c>
      <c r="M28">
        <v>18</v>
      </c>
      <c r="N28">
        <v>0.67</v>
      </c>
      <c r="O28">
        <v>39953</v>
      </c>
      <c r="P28" t="s">
        <v>26</v>
      </c>
      <c r="Q28">
        <v>4</v>
      </c>
      <c r="R28" t="s">
        <v>27</v>
      </c>
    </row>
    <row r="29" spans="1:18" x14ac:dyDescent="0.2">
      <c r="A29" t="s">
        <v>103</v>
      </c>
      <c r="B29" t="s">
        <v>63</v>
      </c>
      <c r="C29" t="s">
        <v>70</v>
      </c>
      <c r="D29" t="s">
        <v>30</v>
      </c>
      <c r="E29" t="s">
        <v>50</v>
      </c>
      <c r="F29" t="s">
        <v>76</v>
      </c>
      <c r="G29" t="s">
        <v>24</v>
      </c>
      <c r="H29" t="s">
        <v>43</v>
      </c>
      <c r="I29">
        <v>6</v>
      </c>
      <c r="J29">
        <v>3</v>
      </c>
      <c r="K29">
        <v>7</v>
      </c>
      <c r="L29">
        <v>8</v>
      </c>
      <c r="M29">
        <v>13</v>
      </c>
      <c r="N29">
        <v>0.54</v>
      </c>
      <c r="O29">
        <v>48986</v>
      </c>
      <c r="P29" t="s">
        <v>35</v>
      </c>
      <c r="Q29">
        <v>3</v>
      </c>
      <c r="R29" t="s">
        <v>36</v>
      </c>
    </row>
    <row r="30" spans="1:18" x14ac:dyDescent="0.2">
      <c r="A30" t="s">
        <v>104</v>
      </c>
      <c r="B30" t="s">
        <v>101</v>
      </c>
      <c r="C30" t="s">
        <v>45</v>
      </c>
      <c r="D30" t="s">
        <v>46</v>
      </c>
      <c r="E30" t="s">
        <v>47</v>
      </c>
      <c r="F30" t="s">
        <v>105</v>
      </c>
      <c r="G30" t="s">
        <v>33</v>
      </c>
      <c r="H30" t="s">
        <v>43</v>
      </c>
      <c r="I30">
        <v>7</v>
      </c>
      <c r="J30">
        <v>0</v>
      </c>
      <c r="K30">
        <v>11</v>
      </c>
      <c r="L30">
        <v>1</v>
      </c>
      <c r="M30">
        <v>14</v>
      </c>
      <c r="N30">
        <v>0.79</v>
      </c>
      <c r="O30">
        <v>42397</v>
      </c>
      <c r="P30" t="s">
        <v>26</v>
      </c>
      <c r="Q30">
        <v>1</v>
      </c>
      <c r="R30" t="s">
        <v>27</v>
      </c>
    </row>
    <row r="31" spans="1:18" x14ac:dyDescent="0.2">
      <c r="A31" t="s">
        <v>106</v>
      </c>
      <c r="B31" t="s">
        <v>53</v>
      </c>
      <c r="C31" t="s">
        <v>29</v>
      </c>
      <c r="D31" t="s">
        <v>64</v>
      </c>
      <c r="E31" t="s">
        <v>47</v>
      </c>
      <c r="F31" t="s">
        <v>107</v>
      </c>
      <c r="G31" t="s">
        <v>24</v>
      </c>
      <c r="H31" t="s">
        <v>34</v>
      </c>
      <c r="I31">
        <v>7</v>
      </c>
      <c r="J31">
        <v>2</v>
      </c>
      <c r="K31">
        <v>5</v>
      </c>
      <c r="L31">
        <v>2</v>
      </c>
      <c r="M31">
        <v>10</v>
      </c>
      <c r="N31">
        <v>0.5</v>
      </c>
      <c r="O31">
        <v>37585</v>
      </c>
      <c r="P31" t="s">
        <v>26</v>
      </c>
      <c r="Q31">
        <v>2</v>
      </c>
      <c r="R31" t="s">
        <v>27</v>
      </c>
    </row>
    <row r="32" spans="1:18" x14ac:dyDescent="0.2">
      <c r="A32" t="s">
        <v>108</v>
      </c>
      <c r="B32" t="s">
        <v>19</v>
      </c>
      <c r="C32" t="s">
        <v>39</v>
      </c>
      <c r="D32" t="s">
        <v>46</v>
      </c>
      <c r="E32" t="s">
        <v>50</v>
      </c>
      <c r="F32" t="s">
        <v>56</v>
      </c>
      <c r="G32" t="s">
        <v>33</v>
      </c>
      <c r="H32" t="s">
        <v>72</v>
      </c>
      <c r="I32">
        <v>9</v>
      </c>
      <c r="J32">
        <v>2</v>
      </c>
      <c r="K32">
        <v>9</v>
      </c>
      <c r="L32">
        <v>8</v>
      </c>
      <c r="M32">
        <v>15</v>
      </c>
      <c r="N32">
        <v>0.6</v>
      </c>
      <c r="O32">
        <v>24475</v>
      </c>
      <c r="P32" t="s">
        <v>35</v>
      </c>
      <c r="Q32">
        <v>2</v>
      </c>
      <c r="R32" t="s">
        <v>36</v>
      </c>
    </row>
    <row r="33" spans="1:18" x14ac:dyDescent="0.2">
      <c r="A33" t="s">
        <v>109</v>
      </c>
      <c r="B33" t="s">
        <v>58</v>
      </c>
      <c r="C33" t="s">
        <v>70</v>
      </c>
      <c r="D33" t="s">
        <v>30</v>
      </c>
      <c r="E33" t="s">
        <v>31</v>
      </c>
      <c r="F33" t="s">
        <v>74</v>
      </c>
      <c r="G33" t="s">
        <v>33</v>
      </c>
      <c r="H33" t="s">
        <v>43</v>
      </c>
      <c r="I33">
        <v>7</v>
      </c>
      <c r="J33">
        <v>1</v>
      </c>
      <c r="K33">
        <v>18</v>
      </c>
      <c r="L33">
        <v>8</v>
      </c>
      <c r="M33">
        <v>20</v>
      </c>
      <c r="N33">
        <v>0.9</v>
      </c>
      <c r="O33">
        <v>28685</v>
      </c>
      <c r="P33" t="s">
        <v>35</v>
      </c>
      <c r="Q33">
        <v>3</v>
      </c>
      <c r="R33" t="s">
        <v>36</v>
      </c>
    </row>
    <row r="34" spans="1:18" x14ac:dyDescent="0.2">
      <c r="A34" t="s">
        <v>110</v>
      </c>
      <c r="B34" t="s">
        <v>49</v>
      </c>
      <c r="C34" t="s">
        <v>20</v>
      </c>
      <c r="D34" t="s">
        <v>46</v>
      </c>
      <c r="E34" t="s">
        <v>31</v>
      </c>
      <c r="F34" t="s">
        <v>111</v>
      </c>
      <c r="G34" t="s">
        <v>24</v>
      </c>
      <c r="H34" t="s">
        <v>43</v>
      </c>
      <c r="I34">
        <v>8</v>
      </c>
      <c r="J34">
        <v>1</v>
      </c>
      <c r="K34">
        <v>8</v>
      </c>
      <c r="L34">
        <v>8</v>
      </c>
      <c r="M34">
        <v>14</v>
      </c>
      <c r="N34">
        <v>0.56999999999999995</v>
      </c>
      <c r="O34">
        <v>34730</v>
      </c>
      <c r="P34" t="s">
        <v>35</v>
      </c>
      <c r="Q34">
        <v>1</v>
      </c>
      <c r="R34" t="s">
        <v>36</v>
      </c>
    </row>
    <row r="35" spans="1:18" x14ac:dyDescent="0.2">
      <c r="A35" t="s">
        <v>112</v>
      </c>
      <c r="B35" t="s">
        <v>90</v>
      </c>
      <c r="C35" t="s">
        <v>70</v>
      </c>
      <c r="D35" t="s">
        <v>30</v>
      </c>
      <c r="E35" t="s">
        <v>22</v>
      </c>
      <c r="F35" t="s">
        <v>54</v>
      </c>
      <c r="G35" t="s">
        <v>33</v>
      </c>
      <c r="H35" t="s">
        <v>34</v>
      </c>
      <c r="I35">
        <v>8</v>
      </c>
      <c r="J35">
        <v>1</v>
      </c>
      <c r="K35">
        <v>10</v>
      </c>
      <c r="L35">
        <v>1</v>
      </c>
      <c r="M35">
        <v>18</v>
      </c>
      <c r="N35">
        <v>0.56000000000000005</v>
      </c>
      <c r="O35">
        <v>24508</v>
      </c>
      <c r="P35" t="s">
        <v>26</v>
      </c>
      <c r="Q35">
        <v>5</v>
      </c>
      <c r="R35" t="s">
        <v>27</v>
      </c>
    </row>
    <row r="36" spans="1:18" x14ac:dyDescent="0.2">
      <c r="A36" t="s">
        <v>113</v>
      </c>
      <c r="B36" t="s">
        <v>90</v>
      </c>
      <c r="C36" t="s">
        <v>39</v>
      </c>
      <c r="D36" t="s">
        <v>30</v>
      </c>
      <c r="E36" t="s">
        <v>50</v>
      </c>
      <c r="F36" t="s">
        <v>114</v>
      </c>
      <c r="G36" t="s">
        <v>24</v>
      </c>
      <c r="H36" t="s">
        <v>34</v>
      </c>
      <c r="I36">
        <v>9</v>
      </c>
      <c r="J36">
        <v>3</v>
      </c>
      <c r="K36">
        <v>5</v>
      </c>
      <c r="L36">
        <v>1</v>
      </c>
      <c r="M36">
        <v>20</v>
      </c>
      <c r="N36">
        <v>0.25</v>
      </c>
      <c r="O36">
        <v>62624</v>
      </c>
      <c r="P36" t="s">
        <v>26</v>
      </c>
      <c r="Q36">
        <v>5</v>
      </c>
      <c r="R36" t="s">
        <v>27</v>
      </c>
    </row>
    <row r="37" spans="1:18" x14ac:dyDescent="0.2">
      <c r="A37" t="s">
        <v>115</v>
      </c>
      <c r="B37" t="s">
        <v>38</v>
      </c>
      <c r="C37" t="s">
        <v>45</v>
      </c>
      <c r="D37" t="s">
        <v>40</v>
      </c>
      <c r="E37" t="s">
        <v>47</v>
      </c>
      <c r="F37" t="s">
        <v>80</v>
      </c>
      <c r="G37" t="s">
        <v>33</v>
      </c>
      <c r="H37" t="s">
        <v>43</v>
      </c>
      <c r="I37">
        <v>7</v>
      </c>
      <c r="J37">
        <v>3</v>
      </c>
      <c r="K37">
        <v>16</v>
      </c>
      <c r="L37">
        <v>2</v>
      </c>
      <c r="M37">
        <v>18</v>
      </c>
      <c r="N37">
        <v>0.89</v>
      </c>
      <c r="O37">
        <v>53424</v>
      </c>
      <c r="P37" t="s">
        <v>26</v>
      </c>
      <c r="Q37">
        <v>1</v>
      </c>
      <c r="R37" t="s">
        <v>27</v>
      </c>
    </row>
    <row r="38" spans="1:18" x14ac:dyDescent="0.2">
      <c r="A38" t="s">
        <v>116</v>
      </c>
      <c r="B38" t="s">
        <v>58</v>
      </c>
      <c r="C38" t="s">
        <v>70</v>
      </c>
      <c r="D38" t="s">
        <v>21</v>
      </c>
      <c r="E38" t="s">
        <v>22</v>
      </c>
      <c r="F38" t="s">
        <v>105</v>
      </c>
      <c r="G38" t="s">
        <v>33</v>
      </c>
      <c r="H38" t="s">
        <v>25</v>
      </c>
      <c r="I38">
        <v>7</v>
      </c>
      <c r="J38">
        <v>3</v>
      </c>
      <c r="K38">
        <v>6</v>
      </c>
      <c r="L38">
        <v>2</v>
      </c>
      <c r="M38">
        <v>19</v>
      </c>
      <c r="N38">
        <v>0.32</v>
      </c>
      <c r="O38">
        <v>45502</v>
      </c>
      <c r="P38" t="s">
        <v>26</v>
      </c>
      <c r="Q38">
        <v>1</v>
      </c>
      <c r="R38" t="s">
        <v>27</v>
      </c>
    </row>
    <row r="39" spans="1:18" x14ac:dyDescent="0.2">
      <c r="A39" t="s">
        <v>117</v>
      </c>
      <c r="B39" t="s">
        <v>58</v>
      </c>
      <c r="C39" t="s">
        <v>45</v>
      </c>
      <c r="D39" t="s">
        <v>64</v>
      </c>
      <c r="E39" t="s">
        <v>50</v>
      </c>
      <c r="F39" t="s">
        <v>118</v>
      </c>
      <c r="G39" t="s">
        <v>42</v>
      </c>
      <c r="H39" t="s">
        <v>43</v>
      </c>
      <c r="I39">
        <v>6</v>
      </c>
      <c r="J39">
        <v>2</v>
      </c>
      <c r="K39">
        <v>20</v>
      </c>
      <c r="L39">
        <v>3</v>
      </c>
      <c r="M39">
        <v>19</v>
      </c>
      <c r="N39">
        <v>1.05</v>
      </c>
      <c r="O39">
        <v>44713</v>
      </c>
      <c r="P39" t="s">
        <v>26</v>
      </c>
      <c r="Q39">
        <v>5</v>
      </c>
      <c r="R39" t="s">
        <v>27</v>
      </c>
    </row>
    <row r="40" spans="1:18" x14ac:dyDescent="0.2">
      <c r="A40" t="s">
        <v>119</v>
      </c>
      <c r="B40" t="s">
        <v>63</v>
      </c>
      <c r="C40" t="s">
        <v>20</v>
      </c>
      <c r="D40" t="s">
        <v>46</v>
      </c>
      <c r="E40" t="s">
        <v>22</v>
      </c>
      <c r="F40" t="s">
        <v>120</v>
      </c>
      <c r="G40" t="s">
        <v>24</v>
      </c>
      <c r="H40" t="s">
        <v>25</v>
      </c>
      <c r="I40">
        <v>6</v>
      </c>
      <c r="J40">
        <v>2</v>
      </c>
      <c r="K40">
        <v>10</v>
      </c>
      <c r="L40">
        <v>8</v>
      </c>
      <c r="M40">
        <v>10</v>
      </c>
      <c r="N40">
        <v>1</v>
      </c>
      <c r="O40">
        <v>32317</v>
      </c>
      <c r="P40" t="s">
        <v>35</v>
      </c>
      <c r="Q40">
        <v>4</v>
      </c>
      <c r="R40" t="s">
        <v>36</v>
      </c>
    </row>
    <row r="41" spans="1:18" x14ac:dyDescent="0.2">
      <c r="A41" t="s">
        <v>121</v>
      </c>
      <c r="B41" t="s">
        <v>38</v>
      </c>
      <c r="C41" t="s">
        <v>29</v>
      </c>
      <c r="D41" t="s">
        <v>40</v>
      </c>
      <c r="E41" t="s">
        <v>31</v>
      </c>
      <c r="F41" t="s">
        <v>122</v>
      </c>
      <c r="G41" t="s">
        <v>24</v>
      </c>
      <c r="H41" t="s">
        <v>25</v>
      </c>
      <c r="I41">
        <v>8</v>
      </c>
      <c r="J41">
        <v>2</v>
      </c>
      <c r="K41">
        <v>11</v>
      </c>
      <c r="L41">
        <v>4</v>
      </c>
      <c r="M41">
        <v>16</v>
      </c>
      <c r="N41">
        <v>0.69</v>
      </c>
      <c r="O41">
        <v>50499</v>
      </c>
      <c r="P41" t="s">
        <v>26</v>
      </c>
      <c r="Q41">
        <v>3</v>
      </c>
      <c r="R41" t="s">
        <v>27</v>
      </c>
    </row>
    <row r="42" spans="1:18" x14ac:dyDescent="0.2">
      <c r="A42" t="s">
        <v>123</v>
      </c>
      <c r="B42" t="s">
        <v>90</v>
      </c>
      <c r="C42" t="s">
        <v>20</v>
      </c>
      <c r="D42" t="s">
        <v>30</v>
      </c>
      <c r="E42" t="s">
        <v>31</v>
      </c>
      <c r="F42" t="s">
        <v>124</v>
      </c>
      <c r="G42" t="s">
        <v>24</v>
      </c>
      <c r="H42" t="s">
        <v>34</v>
      </c>
      <c r="I42">
        <v>9</v>
      </c>
      <c r="J42">
        <v>3</v>
      </c>
      <c r="K42">
        <v>17</v>
      </c>
      <c r="L42">
        <v>4</v>
      </c>
      <c r="M42">
        <v>18</v>
      </c>
      <c r="N42">
        <v>0.94</v>
      </c>
      <c r="O42">
        <v>31258</v>
      </c>
      <c r="P42" t="s">
        <v>26</v>
      </c>
      <c r="Q42">
        <v>5</v>
      </c>
      <c r="R42" t="s">
        <v>27</v>
      </c>
    </row>
    <row r="43" spans="1:18" x14ac:dyDescent="0.2">
      <c r="A43" t="s">
        <v>125</v>
      </c>
      <c r="B43" t="s">
        <v>53</v>
      </c>
      <c r="C43" t="s">
        <v>20</v>
      </c>
      <c r="D43" t="s">
        <v>46</v>
      </c>
      <c r="E43" t="s">
        <v>50</v>
      </c>
      <c r="F43" t="s">
        <v>88</v>
      </c>
      <c r="G43" t="s">
        <v>24</v>
      </c>
      <c r="H43" t="s">
        <v>72</v>
      </c>
      <c r="I43">
        <v>10</v>
      </c>
      <c r="J43">
        <v>3</v>
      </c>
      <c r="K43">
        <v>9</v>
      </c>
      <c r="L43">
        <v>2</v>
      </c>
      <c r="M43">
        <v>20</v>
      </c>
      <c r="N43">
        <v>0.45</v>
      </c>
      <c r="O43">
        <v>49475</v>
      </c>
      <c r="P43" t="s">
        <v>26</v>
      </c>
      <c r="Q43">
        <v>5</v>
      </c>
      <c r="R43" t="s">
        <v>27</v>
      </c>
    </row>
    <row r="44" spans="1:18" x14ac:dyDescent="0.2">
      <c r="A44" t="s">
        <v>126</v>
      </c>
      <c r="B44" t="s">
        <v>58</v>
      </c>
      <c r="C44" t="s">
        <v>45</v>
      </c>
      <c r="D44" t="s">
        <v>40</v>
      </c>
      <c r="E44" t="s">
        <v>50</v>
      </c>
      <c r="F44" t="s">
        <v>76</v>
      </c>
      <c r="G44" t="s">
        <v>24</v>
      </c>
      <c r="H44" t="s">
        <v>34</v>
      </c>
      <c r="I44">
        <v>8</v>
      </c>
      <c r="J44">
        <v>3</v>
      </c>
      <c r="K44">
        <v>6</v>
      </c>
      <c r="L44">
        <v>5</v>
      </c>
      <c r="M44">
        <v>20</v>
      </c>
      <c r="N44">
        <v>0.3</v>
      </c>
      <c r="O44">
        <v>39302</v>
      </c>
      <c r="P44" t="s">
        <v>26</v>
      </c>
      <c r="Q44">
        <v>5</v>
      </c>
      <c r="R44" t="s">
        <v>27</v>
      </c>
    </row>
    <row r="45" spans="1:18" x14ac:dyDescent="0.2">
      <c r="A45" t="s">
        <v>127</v>
      </c>
      <c r="B45" t="s">
        <v>49</v>
      </c>
      <c r="C45" t="s">
        <v>70</v>
      </c>
      <c r="D45" t="s">
        <v>64</v>
      </c>
      <c r="E45" t="s">
        <v>50</v>
      </c>
      <c r="F45" t="s">
        <v>128</v>
      </c>
      <c r="G45" t="s">
        <v>33</v>
      </c>
      <c r="H45" t="s">
        <v>25</v>
      </c>
      <c r="I45">
        <v>8</v>
      </c>
      <c r="J45">
        <v>2</v>
      </c>
      <c r="K45">
        <v>7</v>
      </c>
      <c r="L45">
        <v>7</v>
      </c>
      <c r="M45">
        <v>18</v>
      </c>
      <c r="N45">
        <v>0.39</v>
      </c>
      <c r="O45">
        <v>23099</v>
      </c>
      <c r="P45" t="s">
        <v>35</v>
      </c>
      <c r="Q45">
        <v>1</v>
      </c>
      <c r="R45" t="s">
        <v>36</v>
      </c>
    </row>
    <row r="46" spans="1:18" x14ac:dyDescent="0.2">
      <c r="A46" t="s">
        <v>129</v>
      </c>
      <c r="B46" t="s">
        <v>61</v>
      </c>
      <c r="C46" t="s">
        <v>20</v>
      </c>
      <c r="D46" t="s">
        <v>30</v>
      </c>
      <c r="E46" t="s">
        <v>47</v>
      </c>
      <c r="F46" t="s">
        <v>130</v>
      </c>
      <c r="G46" t="s">
        <v>33</v>
      </c>
      <c r="H46" t="s">
        <v>72</v>
      </c>
      <c r="I46">
        <v>10</v>
      </c>
      <c r="J46">
        <v>2</v>
      </c>
      <c r="K46">
        <v>12</v>
      </c>
      <c r="L46">
        <v>3</v>
      </c>
      <c r="M46">
        <v>14</v>
      </c>
      <c r="N46">
        <v>0.86</v>
      </c>
      <c r="O46">
        <v>32597</v>
      </c>
      <c r="P46" t="s">
        <v>26</v>
      </c>
      <c r="Q46">
        <v>1</v>
      </c>
      <c r="R46" t="s">
        <v>27</v>
      </c>
    </row>
    <row r="47" spans="1:18" x14ac:dyDescent="0.2">
      <c r="A47" t="s">
        <v>131</v>
      </c>
      <c r="B47" t="s">
        <v>69</v>
      </c>
      <c r="C47" t="s">
        <v>70</v>
      </c>
      <c r="D47" t="s">
        <v>64</v>
      </c>
      <c r="E47" t="s">
        <v>47</v>
      </c>
      <c r="F47" t="s">
        <v>32</v>
      </c>
      <c r="G47" t="s">
        <v>33</v>
      </c>
      <c r="H47" t="s">
        <v>34</v>
      </c>
      <c r="I47">
        <v>9</v>
      </c>
      <c r="J47">
        <v>2</v>
      </c>
      <c r="K47">
        <v>10</v>
      </c>
      <c r="L47">
        <v>7</v>
      </c>
      <c r="M47">
        <v>11</v>
      </c>
      <c r="N47">
        <v>0.91</v>
      </c>
      <c r="O47">
        <v>34728</v>
      </c>
      <c r="P47" t="s">
        <v>35</v>
      </c>
      <c r="Q47">
        <v>2</v>
      </c>
      <c r="R47" t="s">
        <v>36</v>
      </c>
    </row>
    <row r="48" spans="1:18" x14ac:dyDescent="0.2">
      <c r="A48" t="s">
        <v>132</v>
      </c>
      <c r="B48" t="s">
        <v>90</v>
      </c>
      <c r="C48" t="s">
        <v>29</v>
      </c>
      <c r="D48" t="s">
        <v>40</v>
      </c>
      <c r="E48" t="s">
        <v>50</v>
      </c>
      <c r="F48" t="s">
        <v>82</v>
      </c>
      <c r="G48" t="s">
        <v>33</v>
      </c>
      <c r="H48" t="s">
        <v>72</v>
      </c>
      <c r="I48">
        <v>9</v>
      </c>
      <c r="J48">
        <v>1</v>
      </c>
      <c r="K48">
        <v>5</v>
      </c>
      <c r="L48">
        <v>3</v>
      </c>
      <c r="M48">
        <v>15</v>
      </c>
      <c r="N48">
        <v>0.33</v>
      </c>
      <c r="O48">
        <v>34080</v>
      </c>
      <c r="P48" t="s">
        <v>26</v>
      </c>
      <c r="Q48">
        <v>2</v>
      </c>
      <c r="R48" t="s">
        <v>27</v>
      </c>
    </row>
    <row r="49" spans="1:18" x14ac:dyDescent="0.2">
      <c r="A49" t="s">
        <v>133</v>
      </c>
      <c r="B49" t="s">
        <v>53</v>
      </c>
      <c r="C49" t="s">
        <v>70</v>
      </c>
      <c r="D49" t="s">
        <v>46</v>
      </c>
      <c r="E49" t="s">
        <v>50</v>
      </c>
      <c r="F49" t="s">
        <v>134</v>
      </c>
      <c r="G49" t="s">
        <v>24</v>
      </c>
      <c r="H49" t="s">
        <v>43</v>
      </c>
      <c r="I49">
        <v>10</v>
      </c>
      <c r="J49">
        <v>3</v>
      </c>
      <c r="K49">
        <v>13</v>
      </c>
      <c r="L49">
        <v>7</v>
      </c>
      <c r="M49">
        <v>10</v>
      </c>
      <c r="N49">
        <v>1.3</v>
      </c>
      <c r="O49">
        <v>79877</v>
      </c>
      <c r="P49" t="s">
        <v>35</v>
      </c>
      <c r="Q49">
        <v>2</v>
      </c>
      <c r="R49" t="s">
        <v>36</v>
      </c>
    </row>
    <row r="50" spans="1:18" x14ac:dyDescent="0.2">
      <c r="A50" t="s">
        <v>135</v>
      </c>
      <c r="B50" t="s">
        <v>58</v>
      </c>
      <c r="C50" t="s">
        <v>39</v>
      </c>
      <c r="D50" t="s">
        <v>21</v>
      </c>
      <c r="E50" t="s">
        <v>47</v>
      </c>
      <c r="F50" t="s">
        <v>136</v>
      </c>
      <c r="G50" t="s">
        <v>33</v>
      </c>
      <c r="H50" t="s">
        <v>72</v>
      </c>
      <c r="I50">
        <v>9</v>
      </c>
      <c r="J50">
        <v>2</v>
      </c>
      <c r="K50">
        <v>16</v>
      </c>
      <c r="L50">
        <v>8</v>
      </c>
      <c r="M50">
        <v>13</v>
      </c>
      <c r="N50">
        <v>1.23</v>
      </c>
      <c r="O50">
        <v>55975</v>
      </c>
      <c r="P50" t="s">
        <v>35</v>
      </c>
      <c r="Q50">
        <v>5</v>
      </c>
      <c r="R50" t="s">
        <v>36</v>
      </c>
    </row>
    <row r="51" spans="1:18" x14ac:dyDescent="0.2">
      <c r="A51" t="s">
        <v>137</v>
      </c>
      <c r="B51" t="s">
        <v>38</v>
      </c>
      <c r="C51" t="s">
        <v>70</v>
      </c>
      <c r="D51" t="s">
        <v>21</v>
      </c>
      <c r="E51" t="s">
        <v>22</v>
      </c>
      <c r="F51" t="s">
        <v>138</v>
      </c>
      <c r="G51" t="s">
        <v>33</v>
      </c>
      <c r="H51" t="s">
        <v>72</v>
      </c>
      <c r="I51">
        <v>8</v>
      </c>
      <c r="J51">
        <v>3</v>
      </c>
      <c r="K51">
        <v>6</v>
      </c>
      <c r="L51">
        <v>1</v>
      </c>
      <c r="M51">
        <v>14</v>
      </c>
      <c r="N51">
        <v>0.43</v>
      </c>
      <c r="O51">
        <v>66340</v>
      </c>
      <c r="P51" t="s">
        <v>26</v>
      </c>
      <c r="Q51">
        <v>1</v>
      </c>
      <c r="R51" t="s">
        <v>27</v>
      </c>
    </row>
    <row r="52" spans="1:18" x14ac:dyDescent="0.2">
      <c r="A52" t="s">
        <v>139</v>
      </c>
      <c r="B52" t="s">
        <v>63</v>
      </c>
      <c r="C52" t="s">
        <v>29</v>
      </c>
      <c r="D52" t="s">
        <v>30</v>
      </c>
      <c r="E52" t="s">
        <v>22</v>
      </c>
      <c r="F52" t="s">
        <v>140</v>
      </c>
      <c r="G52" t="s">
        <v>24</v>
      </c>
      <c r="H52" t="s">
        <v>43</v>
      </c>
      <c r="I52">
        <v>9</v>
      </c>
      <c r="J52">
        <v>0</v>
      </c>
      <c r="K52">
        <v>17</v>
      </c>
      <c r="L52">
        <v>7</v>
      </c>
      <c r="M52">
        <v>13</v>
      </c>
      <c r="N52">
        <v>1.31</v>
      </c>
      <c r="O52">
        <v>71648</v>
      </c>
      <c r="P52" t="s">
        <v>35</v>
      </c>
      <c r="Q52">
        <v>1</v>
      </c>
      <c r="R52" t="s">
        <v>36</v>
      </c>
    </row>
    <row r="53" spans="1:18" x14ac:dyDescent="0.2">
      <c r="A53" t="s">
        <v>141</v>
      </c>
      <c r="B53" t="s">
        <v>38</v>
      </c>
      <c r="C53" t="s">
        <v>45</v>
      </c>
      <c r="D53" t="s">
        <v>46</v>
      </c>
      <c r="E53" t="s">
        <v>31</v>
      </c>
      <c r="F53" t="s">
        <v>142</v>
      </c>
      <c r="G53" t="s">
        <v>24</v>
      </c>
      <c r="H53" t="s">
        <v>25</v>
      </c>
      <c r="I53">
        <v>6</v>
      </c>
      <c r="J53">
        <v>2</v>
      </c>
      <c r="K53">
        <v>16</v>
      </c>
      <c r="L53">
        <v>9</v>
      </c>
      <c r="M53">
        <v>19</v>
      </c>
      <c r="N53">
        <v>0.84</v>
      </c>
      <c r="O53">
        <v>57274</v>
      </c>
      <c r="P53" t="s">
        <v>35</v>
      </c>
      <c r="Q53">
        <v>2</v>
      </c>
      <c r="R53" t="s">
        <v>36</v>
      </c>
    </row>
    <row r="54" spans="1:18" x14ac:dyDescent="0.2">
      <c r="A54" t="s">
        <v>143</v>
      </c>
      <c r="B54" t="s">
        <v>19</v>
      </c>
      <c r="C54" t="s">
        <v>45</v>
      </c>
      <c r="D54" t="s">
        <v>64</v>
      </c>
      <c r="E54" t="s">
        <v>22</v>
      </c>
      <c r="F54" t="s">
        <v>94</v>
      </c>
      <c r="G54" t="s">
        <v>33</v>
      </c>
      <c r="H54" t="s">
        <v>72</v>
      </c>
      <c r="I54">
        <v>9</v>
      </c>
      <c r="J54">
        <v>1</v>
      </c>
      <c r="K54">
        <v>15</v>
      </c>
      <c r="L54">
        <v>1</v>
      </c>
      <c r="M54">
        <v>10</v>
      </c>
      <c r="N54">
        <v>1.5</v>
      </c>
      <c r="O54">
        <v>26622</v>
      </c>
      <c r="P54" t="s">
        <v>26</v>
      </c>
      <c r="Q54">
        <v>4</v>
      </c>
      <c r="R54" t="s">
        <v>27</v>
      </c>
    </row>
    <row r="55" spans="1:18" x14ac:dyDescent="0.2">
      <c r="A55" t="s">
        <v>144</v>
      </c>
      <c r="B55" t="s">
        <v>69</v>
      </c>
      <c r="C55" t="s">
        <v>70</v>
      </c>
      <c r="D55" t="s">
        <v>30</v>
      </c>
      <c r="E55" t="s">
        <v>22</v>
      </c>
      <c r="F55" t="s">
        <v>145</v>
      </c>
      <c r="G55" t="s">
        <v>33</v>
      </c>
      <c r="H55" t="s">
        <v>25</v>
      </c>
      <c r="I55">
        <v>8</v>
      </c>
      <c r="J55">
        <v>0</v>
      </c>
      <c r="K55">
        <v>6</v>
      </c>
      <c r="L55">
        <v>10</v>
      </c>
      <c r="M55">
        <v>11</v>
      </c>
      <c r="N55">
        <v>0.55000000000000004</v>
      </c>
      <c r="O55">
        <v>29470</v>
      </c>
      <c r="P55" t="s">
        <v>35</v>
      </c>
      <c r="Q55">
        <v>4</v>
      </c>
      <c r="R55" t="s">
        <v>36</v>
      </c>
    </row>
    <row r="56" spans="1:18" x14ac:dyDescent="0.2">
      <c r="A56" t="s">
        <v>146</v>
      </c>
      <c r="B56" t="s">
        <v>61</v>
      </c>
      <c r="C56" t="s">
        <v>39</v>
      </c>
      <c r="D56" t="s">
        <v>40</v>
      </c>
      <c r="E56" t="s">
        <v>22</v>
      </c>
      <c r="F56" t="s">
        <v>99</v>
      </c>
      <c r="G56" t="s">
        <v>24</v>
      </c>
      <c r="H56" t="s">
        <v>25</v>
      </c>
      <c r="I56">
        <v>8</v>
      </c>
      <c r="J56">
        <v>3</v>
      </c>
      <c r="K56">
        <v>10</v>
      </c>
      <c r="L56">
        <v>8</v>
      </c>
      <c r="M56">
        <v>18</v>
      </c>
      <c r="N56">
        <v>0.56000000000000005</v>
      </c>
      <c r="O56">
        <v>68361</v>
      </c>
      <c r="P56" t="s">
        <v>35</v>
      </c>
      <c r="Q56">
        <v>3</v>
      </c>
      <c r="R56" t="s">
        <v>36</v>
      </c>
    </row>
    <row r="57" spans="1:18" x14ac:dyDescent="0.2">
      <c r="A57" t="s">
        <v>147</v>
      </c>
      <c r="B57" t="s">
        <v>61</v>
      </c>
      <c r="C57" t="s">
        <v>70</v>
      </c>
      <c r="D57" t="s">
        <v>21</v>
      </c>
      <c r="E57" t="s">
        <v>47</v>
      </c>
      <c r="F57" t="s">
        <v>92</v>
      </c>
      <c r="G57" t="s">
        <v>33</v>
      </c>
      <c r="H57" t="s">
        <v>34</v>
      </c>
      <c r="I57">
        <v>7</v>
      </c>
      <c r="J57">
        <v>2</v>
      </c>
      <c r="K57">
        <v>17</v>
      </c>
      <c r="L57">
        <v>7</v>
      </c>
      <c r="M57">
        <v>19</v>
      </c>
      <c r="N57">
        <v>0.89</v>
      </c>
      <c r="O57">
        <v>64500</v>
      </c>
      <c r="P57" t="s">
        <v>35</v>
      </c>
      <c r="Q57">
        <v>2</v>
      </c>
      <c r="R57" t="s">
        <v>36</v>
      </c>
    </row>
    <row r="58" spans="1:18" x14ac:dyDescent="0.2">
      <c r="A58" t="s">
        <v>148</v>
      </c>
      <c r="B58" t="s">
        <v>90</v>
      </c>
      <c r="C58" t="s">
        <v>70</v>
      </c>
      <c r="D58" t="s">
        <v>64</v>
      </c>
      <c r="E58" t="s">
        <v>22</v>
      </c>
      <c r="F58" t="s">
        <v>92</v>
      </c>
      <c r="G58" t="s">
        <v>33</v>
      </c>
      <c r="H58" t="s">
        <v>72</v>
      </c>
      <c r="I58">
        <v>8</v>
      </c>
      <c r="J58">
        <v>0</v>
      </c>
      <c r="K58">
        <v>10</v>
      </c>
      <c r="L58">
        <v>9</v>
      </c>
      <c r="M58">
        <v>12</v>
      </c>
      <c r="N58">
        <v>0.83</v>
      </c>
      <c r="O58">
        <v>20672</v>
      </c>
      <c r="P58" t="s">
        <v>35</v>
      </c>
      <c r="Q58">
        <v>1</v>
      </c>
      <c r="R58" t="s">
        <v>36</v>
      </c>
    </row>
    <row r="59" spans="1:18" x14ac:dyDescent="0.2">
      <c r="A59" t="s">
        <v>149</v>
      </c>
      <c r="B59" t="s">
        <v>38</v>
      </c>
      <c r="C59" t="s">
        <v>45</v>
      </c>
      <c r="D59" t="s">
        <v>64</v>
      </c>
      <c r="E59" t="s">
        <v>47</v>
      </c>
      <c r="F59" t="s">
        <v>150</v>
      </c>
      <c r="G59" t="s">
        <v>24</v>
      </c>
      <c r="H59" t="s">
        <v>43</v>
      </c>
      <c r="I59">
        <v>10</v>
      </c>
      <c r="J59">
        <v>0</v>
      </c>
      <c r="K59">
        <v>8</v>
      </c>
      <c r="L59">
        <v>9</v>
      </c>
      <c r="M59">
        <v>19</v>
      </c>
      <c r="N59">
        <v>0.42</v>
      </c>
      <c r="O59">
        <v>22094</v>
      </c>
      <c r="P59" t="s">
        <v>35</v>
      </c>
      <c r="Q59">
        <v>2</v>
      </c>
      <c r="R59" t="s">
        <v>36</v>
      </c>
    </row>
    <row r="60" spans="1:18" x14ac:dyDescent="0.2">
      <c r="A60" t="s">
        <v>151</v>
      </c>
      <c r="B60" t="s">
        <v>61</v>
      </c>
      <c r="C60" t="s">
        <v>39</v>
      </c>
      <c r="D60" t="s">
        <v>21</v>
      </c>
      <c r="E60" t="s">
        <v>22</v>
      </c>
      <c r="F60" t="s">
        <v>150</v>
      </c>
      <c r="G60" t="s">
        <v>24</v>
      </c>
      <c r="H60" t="s">
        <v>43</v>
      </c>
      <c r="I60">
        <v>9</v>
      </c>
      <c r="J60">
        <v>0</v>
      </c>
      <c r="K60">
        <v>5</v>
      </c>
      <c r="L60">
        <v>1</v>
      </c>
      <c r="M60">
        <v>16</v>
      </c>
      <c r="N60">
        <v>0.31</v>
      </c>
      <c r="O60">
        <v>73658</v>
      </c>
      <c r="P60" t="s">
        <v>26</v>
      </c>
      <c r="Q60">
        <v>4</v>
      </c>
      <c r="R60" t="s">
        <v>27</v>
      </c>
    </row>
    <row r="61" spans="1:18" x14ac:dyDescent="0.2">
      <c r="A61" t="s">
        <v>152</v>
      </c>
      <c r="B61" t="s">
        <v>90</v>
      </c>
      <c r="C61" t="s">
        <v>45</v>
      </c>
      <c r="D61" t="s">
        <v>46</v>
      </c>
      <c r="E61" t="s">
        <v>31</v>
      </c>
      <c r="F61" t="s">
        <v>56</v>
      </c>
      <c r="G61" t="s">
        <v>33</v>
      </c>
      <c r="H61" t="s">
        <v>43</v>
      </c>
      <c r="I61">
        <v>6</v>
      </c>
      <c r="J61">
        <v>2</v>
      </c>
      <c r="K61">
        <v>11</v>
      </c>
      <c r="L61">
        <v>2</v>
      </c>
      <c r="M61">
        <v>19</v>
      </c>
      <c r="N61">
        <v>0.57999999999999996</v>
      </c>
      <c r="O61">
        <v>60273</v>
      </c>
      <c r="P61" t="s">
        <v>26</v>
      </c>
      <c r="Q61">
        <v>1</v>
      </c>
      <c r="R61" t="s">
        <v>27</v>
      </c>
    </row>
    <row r="62" spans="1:18" x14ac:dyDescent="0.2">
      <c r="A62" t="s">
        <v>153</v>
      </c>
      <c r="B62" t="s">
        <v>69</v>
      </c>
      <c r="C62" t="s">
        <v>70</v>
      </c>
      <c r="D62" t="s">
        <v>30</v>
      </c>
      <c r="E62" t="s">
        <v>31</v>
      </c>
      <c r="F62" t="s">
        <v>88</v>
      </c>
      <c r="G62" t="s">
        <v>24</v>
      </c>
      <c r="H62" t="s">
        <v>34</v>
      </c>
      <c r="I62">
        <v>9</v>
      </c>
      <c r="J62">
        <v>2</v>
      </c>
      <c r="K62">
        <v>8</v>
      </c>
      <c r="L62">
        <v>3</v>
      </c>
      <c r="M62">
        <v>18</v>
      </c>
      <c r="N62">
        <v>0.44</v>
      </c>
      <c r="O62">
        <v>28740</v>
      </c>
      <c r="P62" t="s">
        <v>26</v>
      </c>
      <c r="Q62">
        <v>5</v>
      </c>
      <c r="R62" t="s">
        <v>27</v>
      </c>
    </row>
    <row r="63" spans="1:18" x14ac:dyDescent="0.2">
      <c r="A63" t="s">
        <v>154</v>
      </c>
      <c r="B63" t="s">
        <v>90</v>
      </c>
      <c r="C63" t="s">
        <v>70</v>
      </c>
      <c r="D63" t="s">
        <v>21</v>
      </c>
      <c r="E63" t="s">
        <v>22</v>
      </c>
      <c r="F63" t="s">
        <v>155</v>
      </c>
      <c r="G63" t="s">
        <v>33</v>
      </c>
      <c r="H63" t="s">
        <v>43</v>
      </c>
      <c r="I63">
        <v>6</v>
      </c>
      <c r="J63">
        <v>3</v>
      </c>
      <c r="K63">
        <v>7</v>
      </c>
      <c r="L63">
        <v>10</v>
      </c>
      <c r="M63">
        <v>16</v>
      </c>
      <c r="N63">
        <v>0.44</v>
      </c>
      <c r="O63">
        <v>64995</v>
      </c>
      <c r="P63" t="s">
        <v>35</v>
      </c>
      <c r="Q63">
        <v>1</v>
      </c>
      <c r="R63" t="s">
        <v>36</v>
      </c>
    </row>
    <row r="64" spans="1:18" x14ac:dyDescent="0.2">
      <c r="A64" t="s">
        <v>156</v>
      </c>
      <c r="B64" t="s">
        <v>61</v>
      </c>
      <c r="C64" t="s">
        <v>45</v>
      </c>
      <c r="D64" t="s">
        <v>46</v>
      </c>
      <c r="E64" t="s">
        <v>50</v>
      </c>
      <c r="F64" t="s">
        <v>136</v>
      </c>
      <c r="G64" t="s">
        <v>33</v>
      </c>
      <c r="H64" t="s">
        <v>25</v>
      </c>
      <c r="I64">
        <v>10</v>
      </c>
      <c r="J64">
        <v>0</v>
      </c>
      <c r="K64">
        <v>7</v>
      </c>
      <c r="L64">
        <v>1</v>
      </c>
      <c r="M64">
        <v>13</v>
      </c>
      <c r="N64">
        <v>0.54</v>
      </c>
      <c r="O64">
        <v>21323</v>
      </c>
      <c r="P64" t="s">
        <v>26</v>
      </c>
      <c r="Q64">
        <v>3</v>
      </c>
      <c r="R64" t="s">
        <v>27</v>
      </c>
    </row>
    <row r="65" spans="1:18" x14ac:dyDescent="0.2">
      <c r="A65" t="s">
        <v>157</v>
      </c>
      <c r="B65" t="s">
        <v>49</v>
      </c>
      <c r="C65" t="s">
        <v>29</v>
      </c>
      <c r="D65" t="s">
        <v>46</v>
      </c>
      <c r="E65" t="s">
        <v>50</v>
      </c>
      <c r="F65" t="s">
        <v>158</v>
      </c>
      <c r="G65" t="s">
        <v>33</v>
      </c>
      <c r="H65" t="s">
        <v>72</v>
      </c>
      <c r="I65">
        <v>7</v>
      </c>
      <c r="J65">
        <v>0</v>
      </c>
      <c r="K65">
        <v>8</v>
      </c>
      <c r="L65">
        <v>1</v>
      </c>
      <c r="M65">
        <v>12</v>
      </c>
      <c r="N65">
        <v>0.67</v>
      </c>
      <c r="O65">
        <v>37231</v>
      </c>
      <c r="P65" t="s">
        <v>26</v>
      </c>
      <c r="Q65">
        <v>5</v>
      </c>
      <c r="R65" t="s">
        <v>27</v>
      </c>
    </row>
    <row r="66" spans="1:18" x14ac:dyDescent="0.2">
      <c r="A66" t="s">
        <v>159</v>
      </c>
      <c r="B66" t="s">
        <v>101</v>
      </c>
      <c r="C66" t="s">
        <v>45</v>
      </c>
      <c r="D66" t="s">
        <v>30</v>
      </c>
      <c r="E66" t="s">
        <v>22</v>
      </c>
      <c r="F66" t="s">
        <v>160</v>
      </c>
      <c r="G66" t="s">
        <v>33</v>
      </c>
      <c r="H66" t="s">
        <v>25</v>
      </c>
      <c r="I66">
        <v>8</v>
      </c>
      <c r="J66">
        <v>2</v>
      </c>
      <c r="K66">
        <v>5</v>
      </c>
      <c r="L66">
        <v>1</v>
      </c>
      <c r="M66">
        <v>14</v>
      </c>
      <c r="N66">
        <v>0.36</v>
      </c>
      <c r="O66">
        <v>21929</v>
      </c>
      <c r="P66" t="s">
        <v>26</v>
      </c>
      <c r="Q66">
        <v>5</v>
      </c>
      <c r="R66" t="s">
        <v>27</v>
      </c>
    </row>
    <row r="67" spans="1:18" x14ac:dyDescent="0.2">
      <c r="A67" t="s">
        <v>161</v>
      </c>
      <c r="B67" t="s">
        <v>63</v>
      </c>
      <c r="C67" t="s">
        <v>20</v>
      </c>
      <c r="D67" t="s">
        <v>40</v>
      </c>
      <c r="E67" t="s">
        <v>31</v>
      </c>
      <c r="F67" t="s">
        <v>162</v>
      </c>
      <c r="G67" t="s">
        <v>24</v>
      </c>
      <c r="H67" t="s">
        <v>72</v>
      </c>
      <c r="I67">
        <v>8</v>
      </c>
      <c r="J67">
        <v>1</v>
      </c>
      <c r="K67">
        <v>9</v>
      </c>
      <c r="L67">
        <v>6</v>
      </c>
      <c r="M67">
        <v>10</v>
      </c>
      <c r="N67">
        <v>0.9</v>
      </c>
      <c r="O67">
        <v>42864</v>
      </c>
      <c r="P67" t="s">
        <v>26</v>
      </c>
      <c r="Q67">
        <v>1</v>
      </c>
      <c r="R67" t="s">
        <v>27</v>
      </c>
    </row>
    <row r="68" spans="1:18" x14ac:dyDescent="0.2">
      <c r="A68" t="s">
        <v>163</v>
      </c>
      <c r="B68" t="s">
        <v>61</v>
      </c>
      <c r="C68" t="s">
        <v>39</v>
      </c>
      <c r="D68" t="s">
        <v>46</v>
      </c>
      <c r="E68" t="s">
        <v>22</v>
      </c>
      <c r="F68" t="s">
        <v>124</v>
      </c>
      <c r="G68" t="s">
        <v>24</v>
      </c>
      <c r="H68" t="s">
        <v>72</v>
      </c>
      <c r="I68">
        <v>9</v>
      </c>
      <c r="J68">
        <v>0</v>
      </c>
      <c r="K68">
        <v>14</v>
      </c>
      <c r="L68">
        <v>3</v>
      </c>
      <c r="M68">
        <v>18</v>
      </c>
      <c r="N68">
        <v>0.78</v>
      </c>
      <c r="O68">
        <v>36828</v>
      </c>
      <c r="P68" t="s">
        <v>26</v>
      </c>
      <c r="Q68">
        <v>4</v>
      </c>
      <c r="R68" t="s">
        <v>27</v>
      </c>
    </row>
    <row r="69" spans="1:18" x14ac:dyDescent="0.2">
      <c r="A69" t="s">
        <v>164</v>
      </c>
      <c r="B69" t="s">
        <v>19</v>
      </c>
      <c r="C69" t="s">
        <v>70</v>
      </c>
      <c r="D69" t="s">
        <v>64</v>
      </c>
      <c r="E69" t="s">
        <v>31</v>
      </c>
      <c r="F69" t="s">
        <v>134</v>
      </c>
      <c r="G69" t="s">
        <v>24</v>
      </c>
      <c r="H69" t="s">
        <v>72</v>
      </c>
      <c r="I69">
        <v>7</v>
      </c>
      <c r="J69">
        <v>3</v>
      </c>
      <c r="K69">
        <v>9</v>
      </c>
      <c r="L69">
        <v>4</v>
      </c>
      <c r="M69">
        <v>12</v>
      </c>
      <c r="N69">
        <v>0.75</v>
      </c>
      <c r="O69">
        <v>64556</v>
      </c>
      <c r="P69" t="s">
        <v>26</v>
      </c>
      <c r="Q69">
        <v>3</v>
      </c>
      <c r="R69" t="s">
        <v>27</v>
      </c>
    </row>
    <row r="70" spans="1:18" x14ac:dyDescent="0.2">
      <c r="A70" t="s">
        <v>165</v>
      </c>
      <c r="B70" t="s">
        <v>61</v>
      </c>
      <c r="C70" t="s">
        <v>29</v>
      </c>
      <c r="D70" t="s">
        <v>40</v>
      </c>
      <c r="E70" t="s">
        <v>47</v>
      </c>
      <c r="F70" t="s">
        <v>59</v>
      </c>
      <c r="G70" t="s">
        <v>24</v>
      </c>
      <c r="H70" t="s">
        <v>72</v>
      </c>
      <c r="I70">
        <v>6</v>
      </c>
      <c r="J70">
        <v>1</v>
      </c>
      <c r="K70">
        <v>20</v>
      </c>
      <c r="L70">
        <v>10</v>
      </c>
      <c r="M70">
        <v>16</v>
      </c>
      <c r="N70">
        <v>1.25</v>
      </c>
      <c r="O70">
        <v>41942</v>
      </c>
      <c r="P70" t="s">
        <v>35</v>
      </c>
      <c r="Q70">
        <v>4</v>
      </c>
      <c r="R70" t="s">
        <v>36</v>
      </c>
    </row>
    <row r="71" spans="1:18" x14ac:dyDescent="0.2">
      <c r="A71" t="s">
        <v>166</v>
      </c>
      <c r="B71" t="s">
        <v>63</v>
      </c>
      <c r="C71" t="s">
        <v>39</v>
      </c>
      <c r="D71" t="s">
        <v>30</v>
      </c>
      <c r="E71" t="s">
        <v>22</v>
      </c>
      <c r="F71" t="s">
        <v>167</v>
      </c>
      <c r="G71" t="s">
        <v>33</v>
      </c>
      <c r="H71" t="s">
        <v>43</v>
      </c>
      <c r="I71">
        <v>7</v>
      </c>
      <c r="J71">
        <v>0</v>
      </c>
      <c r="K71">
        <v>17</v>
      </c>
      <c r="L71">
        <v>4</v>
      </c>
      <c r="M71">
        <v>10</v>
      </c>
      <c r="N71">
        <v>1.7</v>
      </c>
      <c r="O71">
        <v>41580</v>
      </c>
      <c r="P71" t="s">
        <v>26</v>
      </c>
      <c r="Q71">
        <v>4</v>
      </c>
      <c r="R71" t="s">
        <v>27</v>
      </c>
    </row>
    <row r="72" spans="1:18" x14ac:dyDescent="0.2">
      <c r="A72" t="s">
        <v>168</v>
      </c>
      <c r="B72" t="s">
        <v>63</v>
      </c>
      <c r="C72" t="s">
        <v>70</v>
      </c>
      <c r="D72" t="s">
        <v>30</v>
      </c>
      <c r="E72" t="s">
        <v>50</v>
      </c>
      <c r="F72" t="s">
        <v>140</v>
      </c>
      <c r="G72" t="s">
        <v>24</v>
      </c>
      <c r="H72" t="s">
        <v>43</v>
      </c>
      <c r="I72">
        <v>10</v>
      </c>
      <c r="J72">
        <v>1</v>
      </c>
      <c r="K72">
        <v>5</v>
      </c>
      <c r="L72">
        <v>7</v>
      </c>
      <c r="M72">
        <v>14</v>
      </c>
      <c r="N72">
        <v>0.36</v>
      </c>
      <c r="O72">
        <v>30356</v>
      </c>
      <c r="P72" t="s">
        <v>35</v>
      </c>
      <c r="Q72">
        <v>2</v>
      </c>
      <c r="R72" t="s">
        <v>36</v>
      </c>
    </row>
    <row r="73" spans="1:18" x14ac:dyDescent="0.2">
      <c r="A73" t="s">
        <v>169</v>
      </c>
      <c r="B73" t="s">
        <v>38</v>
      </c>
      <c r="C73" t="s">
        <v>39</v>
      </c>
      <c r="D73" t="s">
        <v>21</v>
      </c>
      <c r="E73" t="s">
        <v>22</v>
      </c>
      <c r="F73" t="s">
        <v>136</v>
      </c>
      <c r="G73" t="s">
        <v>33</v>
      </c>
      <c r="H73" t="s">
        <v>34</v>
      </c>
      <c r="I73">
        <v>6</v>
      </c>
      <c r="J73">
        <v>1</v>
      </c>
      <c r="K73">
        <v>14</v>
      </c>
      <c r="L73">
        <v>7</v>
      </c>
      <c r="M73">
        <v>14</v>
      </c>
      <c r="N73">
        <v>1</v>
      </c>
      <c r="O73">
        <v>73691</v>
      </c>
      <c r="P73" t="s">
        <v>35</v>
      </c>
      <c r="Q73">
        <v>4</v>
      </c>
      <c r="R73" t="s">
        <v>36</v>
      </c>
    </row>
    <row r="74" spans="1:18" x14ac:dyDescent="0.2">
      <c r="A74" t="s">
        <v>170</v>
      </c>
      <c r="B74" t="s">
        <v>101</v>
      </c>
      <c r="C74" t="s">
        <v>45</v>
      </c>
      <c r="D74" t="s">
        <v>64</v>
      </c>
      <c r="E74" t="s">
        <v>50</v>
      </c>
      <c r="F74" t="s">
        <v>171</v>
      </c>
      <c r="G74" t="s">
        <v>24</v>
      </c>
      <c r="H74" t="s">
        <v>34</v>
      </c>
      <c r="I74">
        <v>10</v>
      </c>
      <c r="J74">
        <v>2</v>
      </c>
      <c r="K74">
        <v>15</v>
      </c>
      <c r="L74">
        <v>7</v>
      </c>
      <c r="M74">
        <v>14</v>
      </c>
      <c r="N74">
        <v>1.07</v>
      </c>
      <c r="O74">
        <v>63345</v>
      </c>
      <c r="P74" t="s">
        <v>35</v>
      </c>
      <c r="Q74">
        <v>4</v>
      </c>
      <c r="R74" t="s">
        <v>36</v>
      </c>
    </row>
    <row r="75" spans="1:18" x14ac:dyDescent="0.2">
      <c r="A75" t="s">
        <v>172</v>
      </c>
      <c r="B75" t="s">
        <v>69</v>
      </c>
      <c r="C75" t="s">
        <v>70</v>
      </c>
      <c r="D75" t="s">
        <v>40</v>
      </c>
      <c r="E75" t="s">
        <v>22</v>
      </c>
      <c r="F75" t="s">
        <v>173</v>
      </c>
      <c r="G75" t="s">
        <v>33</v>
      </c>
      <c r="H75" t="s">
        <v>25</v>
      </c>
      <c r="I75">
        <v>9</v>
      </c>
      <c r="J75">
        <v>0</v>
      </c>
      <c r="K75">
        <v>17</v>
      </c>
      <c r="L75">
        <v>4</v>
      </c>
      <c r="M75">
        <v>12</v>
      </c>
      <c r="N75">
        <v>1.42</v>
      </c>
      <c r="O75">
        <v>68073</v>
      </c>
      <c r="P75" t="s">
        <v>26</v>
      </c>
      <c r="Q75">
        <v>1</v>
      </c>
      <c r="R75" t="s">
        <v>27</v>
      </c>
    </row>
    <row r="76" spans="1:18" x14ac:dyDescent="0.2">
      <c r="A76" t="s">
        <v>174</v>
      </c>
      <c r="B76" t="s">
        <v>63</v>
      </c>
      <c r="C76" t="s">
        <v>39</v>
      </c>
      <c r="D76" t="s">
        <v>30</v>
      </c>
      <c r="E76" t="s">
        <v>22</v>
      </c>
      <c r="F76" t="s">
        <v>175</v>
      </c>
      <c r="G76" t="s">
        <v>24</v>
      </c>
      <c r="H76" t="s">
        <v>34</v>
      </c>
      <c r="I76">
        <v>10</v>
      </c>
      <c r="J76">
        <v>1</v>
      </c>
      <c r="K76">
        <v>8</v>
      </c>
      <c r="L76">
        <v>1</v>
      </c>
      <c r="M76">
        <v>13</v>
      </c>
      <c r="N76">
        <v>0.62</v>
      </c>
      <c r="O76">
        <v>73157</v>
      </c>
      <c r="P76" t="s">
        <v>26</v>
      </c>
      <c r="Q76">
        <v>1</v>
      </c>
      <c r="R76" t="s">
        <v>27</v>
      </c>
    </row>
    <row r="77" spans="1:18" x14ac:dyDescent="0.2">
      <c r="A77" t="s">
        <v>176</v>
      </c>
      <c r="B77" t="s">
        <v>101</v>
      </c>
      <c r="C77" t="s">
        <v>39</v>
      </c>
      <c r="D77" t="s">
        <v>46</v>
      </c>
      <c r="E77" t="s">
        <v>31</v>
      </c>
      <c r="F77" t="s">
        <v>136</v>
      </c>
      <c r="G77" t="s">
        <v>33</v>
      </c>
      <c r="H77" t="s">
        <v>25</v>
      </c>
      <c r="I77">
        <v>6</v>
      </c>
      <c r="J77">
        <v>0</v>
      </c>
      <c r="K77">
        <v>5</v>
      </c>
      <c r="L77">
        <v>1</v>
      </c>
      <c r="M77">
        <v>20</v>
      </c>
      <c r="N77">
        <v>0.25</v>
      </c>
      <c r="O77">
        <v>38693</v>
      </c>
      <c r="P77" t="s">
        <v>26</v>
      </c>
      <c r="Q77">
        <v>5</v>
      </c>
      <c r="R77" t="s">
        <v>27</v>
      </c>
    </row>
    <row r="78" spans="1:18" x14ac:dyDescent="0.2">
      <c r="A78" t="s">
        <v>177</v>
      </c>
      <c r="B78" t="s">
        <v>53</v>
      </c>
      <c r="C78" t="s">
        <v>20</v>
      </c>
      <c r="D78" t="s">
        <v>46</v>
      </c>
      <c r="E78" t="s">
        <v>22</v>
      </c>
      <c r="F78" t="s">
        <v>171</v>
      </c>
      <c r="G78" t="s">
        <v>24</v>
      </c>
      <c r="H78" t="s">
        <v>72</v>
      </c>
      <c r="I78">
        <v>9</v>
      </c>
      <c r="J78">
        <v>0</v>
      </c>
      <c r="K78">
        <v>9</v>
      </c>
      <c r="L78">
        <v>2</v>
      </c>
      <c r="M78">
        <v>18</v>
      </c>
      <c r="N78">
        <v>0.5</v>
      </c>
      <c r="O78">
        <v>34904</v>
      </c>
      <c r="P78" t="s">
        <v>26</v>
      </c>
      <c r="Q78">
        <v>2</v>
      </c>
      <c r="R78" t="s">
        <v>27</v>
      </c>
    </row>
    <row r="79" spans="1:18" x14ac:dyDescent="0.2">
      <c r="A79" t="s">
        <v>178</v>
      </c>
      <c r="B79" t="s">
        <v>38</v>
      </c>
      <c r="C79" t="s">
        <v>20</v>
      </c>
      <c r="D79" t="s">
        <v>30</v>
      </c>
      <c r="E79" t="s">
        <v>22</v>
      </c>
      <c r="F79" t="s">
        <v>134</v>
      </c>
      <c r="G79" t="s">
        <v>24</v>
      </c>
      <c r="H79" t="s">
        <v>72</v>
      </c>
      <c r="I79">
        <v>6</v>
      </c>
      <c r="J79">
        <v>0</v>
      </c>
      <c r="K79">
        <v>19</v>
      </c>
      <c r="L79">
        <v>9</v>
      </c>
      <c r="M79">
        <v>14</v>
      </c>
      <c r="N79">
        <v>1.36</v>
      </c>
      <c r="O79">
        <v>52616</v>
      </c>
      <c r="P79" t="s">
        <v>35</v>
      </c>
      <c r="Q79">
        <v>2</v>
      </c>
      <c r="R79" t="s">
        <v>36</v>
      </c>
    </row>
    <row r="80" spans="1:18" x14ac:dyDescent="0.2">
      <c r="A80" t="s">
        <v>179</v>
      </c>
      <c r="B80" t="s">
        <v>63</v>
      </c>
      <c r="C80" t="s">
        <v>29</v>
      </c>
      <c r="D80" t="s">
        <v>21</v>
      </c>
      <c r="E80" t="s">
        <v>31</v>
      </c>
      <c r="F80" t="s">
        <v>92</v>
      </c>
      <c r="G80" t="s">
        <v>33</v>
      </c>
      <c r="H80" t="s">
        <v>34</v>
      </c>
      <c r="I80">
        <v>10</v>
      </c>
      <c r="J80">
        <v>0</v>
      </c>
      <c r="K80">
        <v>15</v>
      </c>
      <c r="L80">
        <v>7</v>
      </c>
      <c r="M80">
        <v>20</v>
      </c>
      <c r="N80">
        <v>0.75</v>
      </c>
      <c r="O80">
        <v>39200</v>
      </c>
      <c r="P80" t="s">
        <v>35</v>
      </c>
      <c r="Q80">
        <v>1</v>
      </c>
      <c r="R80" t="s">
        <v>36</v>
      </c>
    </row>
    <row r="81" spans="1:18" x14ac:dyDescent="0.2">
      <c r="A81" t="s">
        <v>180</v>
      </c>
      <c r="B81" t="s">
        <v>19</v>
      </c>
      <c r="C81" t="s">
        <v>45</v>
      </c>
      <c r="D81" t="s">
        <v>21</v>
      </c>
      <c r="E81" t="s">
        <v>47</v>
      </c>
      <c r="F81" t="s">
        <v>92</v>
      </c>
      <c r="G81" t="s">
        <v>33</v>
      </c>
      <c r="H81" t="s">
        <v>25</v>
      </c>
      <c r="I81">
        <v>6</v>
      </c>
      <c r="J81">
        <v>3</v>
      </c>
      <c r="K81">
        <v>10</v>
      </c>
      <c r="L81">
        <v>1</v>
      </c>
      <c r="M81">
        <v>18</v>
      </c>
      <c r="N81">
        <v>0.56000000000000005</v>
      </c>
      <c r="O81">
        <v>22835</v>
      </c>
      <c r="P81" t="s">
        <v>26</v>
      </c>
      <c r="Q81">
        <v>2</v>
      </c>
      <c r="R81" t="s">
        <v>27</v>
      </c>
    </row>
    <row r="82" spans="1:18" x14ac:dyDescent="0.2">
      <c r="A82" t="s">
        <v>181</v>
      </c>
      <c r="B82" t="s">
        <v>53</v>
      </c>
      <c r="C82" t="s">
        <v>39</v>
      </c>
      <c r="D82" t="s">
        <v>40</v>
      </c>
      <c r="E82" t="s">
        <v>50</v>
      </c>
      <c r="F82" t="s">
        <v>160</v>
      </c>
      <c r="G82" t="s">
        <v>33</v>
      </c>
      <c r="H82" t="s">
        <v>43</v>
      </c>
      <c r="I82">
        <v>7</v>
      </c>
      <c r="J82">
        <v>1</v>
      </c>
      <c r="K82">
        <v>14</v>
      </c>
      <c r="L82">
        <v>6</v>
      </c>
      <c r="M82">
        <v>12</v>
      </c>
      <c r="N82">
        <v>1.17</v>
      </c>
      <c r="O82">
        <v>22160</v>
      </c>
      <c r="P82" t="s">
        <v>26</v>
      </c>
      <c r="Q82">
        <v>5</v>
      </c>
      <c r="R82" t="s">
        <v>27</v>
      </c>
    </row>
    <row r="83" spans="1:18" x14ac:dyDescent="0.2">
      <c r="A83" t="s">
        <v>182</v>
      </c>
      <c r="B83" t="s">
        <v>38</v>
      </c>
      <c r="C83" t="s">
        <v>39</v>
      </c>
      <c r="D83" t="s">
        <v>30</v>
      </c>
      <c r="E83" t="s">
        <v>22</v>
      </c>
      <c r="F83" t="s">
        <v>94</v>
      </c>
      <c r="G83" t="s">
        <v>33</v>
      </c>
      <c r="H83" t="s">
        <v>72</v>
      </c>
      <c r="I83">
        <v>7</v>
      </c>
      <c r="J83">
        <v>3</v>
      </c>
      <c r="K83">
        <v>12</v>
      </c>
      <c r="L83">
        <v>7</v>
      </c>
      <c r="M83">
        <v>14</v>
      </c>
      <c r="N83">
        <v>0.86</v>
      </c>
      <c r="O83">
        <v>77734</v>
      </c>
      <c r="P83" t="s">
        <v>35</v>
      </c>
      <c r="Q83">
        <v>4</v>
      </c>
      <c r="R83" t="s">
        <v>36</v>
      </c>
    </row>
    <row r="84" spans="1:18" x14ac:dyDescent="0.2">
      <c r="A84" t="s">
        <v>183</v>
      </c>
      <c r="B84" t="s">
        <v>53</v>
      </c>
      <c r="C84" t="s">
        <v>70</v>
      </c>
      <c r="D84" t="s">
        <v>40</v>
      </c>
      <c r="E84" t="s">
        <v>31</v>
      </c>
      <c r="F84" t="s">
        <v>184</v>
      </c>
      <c r="G84" t="s">
        <v>33</v>
      </c>
      <c r="H84" t="s">
        <v>43</v>
      </c>
      <c r="I84">
        <v>6</v>
      </c>
      <c r="J84">
        <v>0</v>
      </c>
      <c r="K84">
        <v>18</v>
      </c>
      <c r="L84">
        <v>6</v>
      </c>
      <c r="M84">
        <v>10</v>
      </c>
      <c r="N84">
        <v>1.8</v>
      </c>
      <c r="O84">
        <v>23386</v>
      </c>
      <c r="P84" t="s">
        <v>26</v>
      </c>
      <c r="Q84">
        <v>3</v>
      </c>
      <c r="R84" t="s">
        <v>27</v>
      </c>
    </row>
    <row r="85" spans="1:18" x14ac:dyDescent="0.2">
      <c r="A85" t="s">
        <v>185</v>
      </c>
      <c r="B85" t="s">
        <v>53</v>
      </c>
      <c r="C85" t="s">
        <v>39</v>
      </c>
      <c r="D85" t="s">
        <v>46</v>
      </c>
      <c r="E85" t="s">
        <v>50</v>
      </c>
      <c r="F85" t="s">
        <v>136</v>
      </c>
      <c r="G85" t="s">
        <v>33</v>
      </c>
      <c r="H85" t="s">
        <v>72</v>
      </c>
      <c r="I85">
        <v>9</v>
      </c>
      <c r="J85">
        <v>3</v>
      </c>
      <c r="K85">
        <v>8</v>
      </c>
      <c r="L85">
        <v>7</v>
      </c>
      <c r="M85">
        <v>11</v>
      </c>
      <c r="N85">
        <v>0.73</v>
      </c>
      <c r="O85">
        <v>79956</v>
      </c>
      <c r="P85" t="s">
        <v>35</v>
      </c>
      <c r="Q85">
        <v>3</v>
      </c>
      <c r="R85" t="s">
        <v>36</v>
      </c>
    </row>
    <row r="86" spans="1:18" x14ac:dyDescent="0.2">
      <c r="A86" t="s">
        <v>186</v>
      </c>
      <c r="B86" t="s">
        <v>19</v>
      </c>
      <c r="C86" t="s">
        <v>39</v>
      </c>
      <c r="D86" t="s">
        <v>21</v>
      </c>
      <c r="E86" t="s">
        <v>22</v>
      </c>
      <c r="F86" t="s">
        <v>187</v>
      </c>
      <c r="G86" t="s">
        <v>24</v>
      </c>
      <c r="H86" t="s">
        <v>25</v>
      </c>
      <c r="I86">
        <v>7</v>
      </c>
      <c r="J86">
        <v>0</v>
      </c>
      <c r="K86">
        <v>7</v>
      </c>
      <c r="L86">
        <v>8</v>
      </c>
      <c r="M86">
        <v>17</v>
      </c>
      <c r="N86">
        <v>0.41</v>
      </c>
      <c r="O86">
        <v>26101</v>
      </c>
      <c r="P86" t="s">
        <v>35</v>
      </c>
      <c r="Q86">
        <v>2</v>
      </c>
      <c r="R86" t="s">
        <v>36</v>
      </c>
    </row>
    <row r="87" spans="1:18" x14ac:dyDescent="0.2">
      <c r="A87" t="s">
        <v>188</v>
      </c>
      <c r="B87" t="s">
        <v>69</v>
      </c>
      <c r="C87" t="s">
        <v>70</v>
      </c>
      <c r="D87" t="s">
        <v>40</v>
      </c>
      <c r="E87" t="s">
        <v>31</v>
      </c>
      <c r="F87" t="s">
        <v>97</v>
      </c>
      <c r="G87" t="s">
        <v>24</v>
      </c>
      <c r="H87" t="s">
        <v>43</v>
      </c>
      <c r="I87">
        <v>10</v>
      </c>
      <c r="J87">
        <v>1</v>
      </c>
      <c r="K87">
        <v>13</v>
      </c>
      <c r="L87">
        <v>2</v>
      </c>
      <c r="M87">
        <v>19</v>
      </c>
      <c r="N87">
        <v>0.68</v>
      </c>
      <c r="O87">
        <v>26947</v>
      </c>
      <c r="P87" t="s">
        <v>26</v>
      </c>
      <c r="Q87">
        <v>5</v>
      </c>
      <c r="R87" t="s">
        <v>27</v>
      </c>
    </row>
    <row r="88" spans="1:18" x14ac:dyDescent="0.2">
      <c r="A88" t="s">
        <v>189</v>
      </c>
      <c r="B88" t="s">
        <v>19</v>
      </c>
      <c r="C88" t="s">
        <v>39</v>
      </c>
      <c r="D88" t="s">
        <v>46</v>
      </c>
      <c r="E88" t="s">
        <v>31</v>
      </c>
      <c r="F88" t="s">
        <v>114</v>
      </c>
      <c r="G88" t="s">
        <v>24</v>
      </c>
      <c r="H88" t="s">
        <v>43</v>
      </c>
      <c r="I88">
        <v>8</v>
      </c>
      <c r="J88">
        <v>2</v>
      </c>
      <c r="K88">
        <v>7</v>
      </c>
      <c r="L88">
        <v>5</v>
      </c>
      <c r="M88">
        <v>13</v>
      </c>
      <c r="N88">
        <v>0.54</v>
      </c>
      <c r="O88">
        <v>45905</v>
      </c>
      <c r="P88" t="s">
        <v>26</v>
      </c>
      <c r="Q88">
        <v>5</v>
      </c>
      <c r="R88" t="s">
        <v>27</v>
      </c>
    </row>
    <row r="89" spans="1:18" x14ac:dyDescent="0.2">
      <c r="A89" t="s">
        <v>190</v>
      </c>
      <c r="B89" t="s">
        <v>69</v>
      </c>
      <c r="C89" t="s">
        <v>39</v>
      </c>
      <c r="D89" t="s">
        <v>21</v>
      </c>
      <c r="E89" t="s">
        <v>47</v>
      </c>
      <c r="F89" t="s">
        <v>191</v>
      </c>
      <c r="G89" t="s">
        <v>24</v>
      </c>
      <c r="H89" t="s">
        <v>43</v>
      </c>
      <c r="I89">
        <v>7</v>
      </c>
      <c r="J89">
        <v>0</v>
      </c>
      <c r="K89">
        <v>14</v>
      </c>
      <c r="L89">
        <v>8</v>
      </c>
      <c r="M89">
        <v>15</v>
      </c>
      <c r="N89">
        <v>0.93</v>
      </c>
      <c r="O89">
        <v>24267</v>
      </c>
      <c r="P89" t="s">
        <v>35</v>
      </c>
      <c r="Q89">
        <v>4</v>
      </c>
      <c r="R89" t="s">
        <v>36</v>
      </c>
    </row>
    <row r="90" spans="1:18" x14ac:dyDescent="0.2">
      <c r="A90" t="s">
        <v>192</v>
      </c>
      <c r="B90" t="s">
        <v>53</v>
      </c>
      <c r="C90" t="s">
        <v>45</v>
      </c>
      <c r="D90" t="s">
        <v>40</v>
      </c>
      <c r="E90" t="s">
        <v>47</v>
      </c>
      <c r="F90" t="s">
        <v>111</v>
      </c>
      <c r="G90" t="s">
        <v>24</v>
      </c>
      <c r="H90" t="s">
        <v>34</v>
      </c>
      <c r="I90">
        <v>10</v>
      </c>
      <c r="J90">
        <v>1</v>
      </c>
      <c r="K90">
        <v>6</v>
      </c>
      <c r="L90">
        <v>2</v>
      </c>
      <c r="M90">
        <v>19</v>
      </c>
      <c r="N90">
        <v>0.32</v>
      </c>
      <c r="O90">
        <v>49130</v>
      </c>
      <c r="P90" t="s">
        <v>26</v>
      </c>
      <c r="Q90">
        <v>1</v>
      </c>
      <c r="R90" t="s">
        <v>27</v>
      </c>
    </row>
    <row r="91" spans="1:18" x14ac:dyDescent="0.2">
      <c r="A91" t="s">
        <v>193</v>
      </c>
      <c r="B91" t="s">
        <v>19</v>
      </c>
      <c r="C91" t="s">
        <v>70</v>
      </c>
      <c r="D91" t="s">
        <v>46</v>
      </c>
      <c r="E91" t="s">
        <v>31</v>
      </c>
      <c r="F91" t="s">
        <v>84</v>
      </c>
      <c r="G91" t="s">
        <v>24</v>
      </c>
      <c r="H91" t="s">
        <v>43</v>
      </c>
      <c r="I91">
        <v>7</v>
      </c>
      <c r="J91">
        <v>1</v>
      </c>
      <c r="K91">
        <v>6</v>
      </c>
      <c r="L91">
        <v>10</v>
      </c>
      <c r="M91">
        <v>17</v>
      </c>
      <c r="N91">
        <v>0.35</v>
      </c>
      <c r="O91">
        <v>76701</v>
      </c>
      <c r="P91" t="s">
        <v>35</v>
      </c>
      <c r="Q91">
        <v>1</v>
      </c>
      <c r="R91" t="s">
        <v>36</v>
      </c>
    </row>
    <row r="92" spans="1:18" x14ac:dyDescent="0.2">
      <c r="A92" t="s">
        <v>194</v>
      </c>
      <c r="B92" t="s">
        <v>19</v>
      </c>
      <c r="C92" t="s">
        <v>39</v>
      </c>
      <c r="D92" t="s">
        <v>21</v>
      </c>
      <c r="E92" t="s">
        <v>22</v>
      </c>
      <c r="F92" t="s">
        <v>130</v>
      </c>
      <c r="G92" t="s">
        <v>33</v>
      </c>
      <c r="H92" t="s">
        <v>72</v>
      </c>
      <c r="I92">
        <v>10</v>
      </c>
      <c r="J92">
        <v>0</v>
      </c>
      <c r="K92">
        <v>19</v>
      </c>
      <c r="L92">
        <v>8</v>
      </c>
      <c r="M92">
        <v>15</v>
      </c>
      <c r="N92">
        <v>1.27</v>
      </c>
      <c r="O92">
        <v>77863</v>
      </c>
      <c r="P92" t="s">
        <v>35</v>
      </c>
      <c r="Q92">
        <v>4</v>
      </c>
      <c r="R92" t="s">
        <v>36</v>
      </c>
    </row>
    <row r="93" spans="1:18" x14ac:dyDescent="0.2">
      <c r="A93" t="s">
        <v>195</v>
      </c>
      <c r="B93" t="s">
        <v>61</v>
      </c>
      <c r="C93" t="s">
        <v>70</v>
      </c>
      <c r="D93" t="s">
        <v>46</v>
      </c>
      <c r="E93" t="s">
        <v>50</v>
      </c>
      <c r="F93" t="s">
        <v>155</v>
      </c>
      <c r="G93" t="s">
        <v>33</v>
      </c>
      <c r="H93" t="s">
        <v>72</v>
      </c>
      <c r="I93">
        <v>10</v>
      </c>
      <c r="J93">
        <v>3</v>
      </c>
      <c r="K93">
        <v>15</v>
      </c>
      <c r="L93">
        <v>1</v>
      </c>
      <c r="M93">
        <v>18</v>
      </c>
      <c r="N93">
        <v>0.83</v>
      </c>
      <c r="O93">
        <v>46786</v>
      </c>
      <c r="P93" t="s">
        <v>26</v>
      </c>
      <c r="Q93">
        <v>3</v>
      </c>
      <c r="R93" t="s">
        <v>27</v>
      </c>
    </row>
    <row r="94" spans="1:18" x14ac:dyDescent="0.2">
      <c r="A94" t="s">
        <v>196</v>
      </c>
      <c r="B94" t="s">
        <v>61</v>
      </c>
      <c r="C94" t="s">
        <v>39</v>
      </c>
      <c r="D94" t="s">
        <v>30</v>
      </c>
      <c r="E94" t="s">
        <v>31</v>
      </c>
      <c r="F94" t="s">
        <v>41</v>
      </c>
      <c r="G94" t="s">
        <v>42</v>
      </c>
      <c r="H94" t="s">
        <v>72</v>
      </c>
      <c r="I94">
        <v>9</v>
      </c>
      <c r="J94">
        <v>0</v>
      </c>
      <c r="K94">
        <v>19</v>
      </c>
      <c r="L94">
        <v>9</v>
      </c>
      <c r="M94">
        <v>16</v>
      </c>
      <c r="N94">
        <v>1.19</v>
      </c>
      <c r="O94">
        <v>67165</v>
      </c>
      <c r="P94" t="s">
        <v>35</v>
      </c>
      <c r="Q94">
        <v>3</v>
      </c>
      <c r="R94" t="s">
        <v>36</v>
      </c>
    </row>
    <row r="95" spans="1:18" x14ac:dyDescent="0.2">
      <c r="A95" t="s">
        <v>197</v>
      </c>
      <c r="B95" t="s">
        <v>61</v>
      </c>
      <c r="C95" t="s">
        <v>70</v>
      </c>
      <c r="D95" t="s">
        <v>40</v>
      </c>
      <c r="E95" t="s">
        <v>50</v>
      </c>
      <c r="F95" t="s">
        <v>171</v>
      </c>
      <c r="G95" t="s">
        <v>24</v>
      </c>
      <c r="H95" t="s">
        <v>72</v>
      </c>
      <c r="I95">
        <v>8</v>
      </c>
      <c r="J95">
        <v>3</v>
      </c>
      <c r="K95">
        <v>8</v>
      </c>
      <c r="L95">
        <v>6</v>
      </c>
      <c r="M95">
        <v>11</v>
      </c>
      <c r="N95">
        <v>0.73</v>
      </c>
      <c r="O95">
        <v>50331</v>
      </c>
      <c r="P95" t="s">
        <v>26</v>
      </c>
      <c r="Q95">
        <v>3</v>
      </c>
      <c r="R95" t="s">
        <v>27</v>
      </c>
    </row>
    <row r="96" spans="1:18" x14ac:dyDescent="0.2">
      <c r="A96" t="s">
        <v>198</v>
      </c>
      <c r="B96" t="s">
        <v>63</v>
      </c>
      <c r="C96" t="s">
        <v>29</v>
      </c>
      <c r="D96" t="s">
        <v>21</v>
      </c>
      <c r="E96" t="s">
        <v>22</v>
      </c>
      <c r="F96" t="s">
        <v>199</v>
      </c>
      <c r="G96" t="s">
        <v>33</v>
      </c>
      <c r="H96" t="s">
        <v>72</v>
      </c>
      <c r="I96">
        <v>8</v>
      </c>
      <c r="J96">
        <v>0</v>
      </c>
      <c r="K96">
        <v>14</v>
      </c>
      <c r="L96">
        <v>2</v>
      </c>
      <c r="M96">
        <v>17</v>
      </c>
      <c r="N96">
        <v>0.82</v>
      </c>
      <c r="O96">
        <v>55278</v>
      </c>
      <c r="P96" t="s">
        <v>26</v>
      </c>
      <c r="Q96">
        <v>1</v>
      </c>
      <c r="R96" t="s">
        <v>27</v>
      </c>
    </row>
    <row r="97" spans="1:18" x14ac:dyDescent="0.2">
      <c r="A97" t="s">
        <v>200</v>
      </c>
      <c r="B97" t="s">
        <v>63</v>
      </c>
      <c r="C97" t="s">
        <v>39</v>
      </c>
      <c r="D97" t="s">
        <v>30</v>
      </c>
      <c r="E97" t="s">
        <v>47</v>
      </c>
      <c r="F97" t="s">
        <v>120</v>
      </c>
      <c r="G97" t="s">
        <v>24</v>
      </c>
      <c r="H97" t="s">
        <v>72</v>
      </c>
      <c r="I97">
        <v>7</v>
      </c>
      <c r="J97">
        <v>0</v>
      </c>
      <c r="K97">
        <v>12</v>
      </c>
      <c r="L97">
        <v>4</v>
      </c>
      <c r="M97">
        <v>15</v>
      </c>
      <c r="N97">
        <v>0.8</v>
      </c>
      <c r="O97">
        <v>34110</v>
      </c>
      <c r="P97" t="s">
        <v>26</v>
      </c>
      <c r="Q97">
        <v>3</v>
      </c>
      <c r="R97" t="s">
        <v>27</v>
      </c>
    </row>
    <row r="98" spans="1:18" x14ac:dyDescent="0.2">
      <c r="A98" t="s">
        <v>201</v>
      </c>
      <c r="B98" t="s">
        <v>63</v>
      </c>
      <c r="C98" t="s">
        <v>29</v>
      </c>
      <c r="D98" t="s">
        <v>64</v>
      </c>
      <c r="E98" t="s">
        <v>31</v>
      </c>
      <c r="F98" t="s">
        <v>88</v>
      </c>
      <c r="G98" t="s">
        <v>24</v>
      </c>
      <c r="H98" t="s">
        <v>72</v>
      </c>
      <c r="I98">
        <v>8</v>
      </c>
      <c r="J98">
        <v>0</v>
      </c>
      <c r="K98">
        <v>7</v>
      </c>
      <c r="L98">
        <v>4</v>
      </c>
      <c r="M98">
        <v>15</v>
      </c>
      <c r="N98">
        <v>0.47</v>
      </c>
      <c r="O98">
        <v>29027</v>
      </c>
      <c r="P98" t="s">
        <v>26</v>
      </c>
      <c r="Q98">
        <v>2</v>
      </c>
      <c r="R98" t="s">
        <v>27</v>
      </c>
    </row>
    <row r="99" spans="1:18" x14ac:dyDescent="0.2">
      <c r="A99" t="s">
        <v>202</v>
      </c>
      <c r="B99" t="s">
        <v>69</v>
      </c>
      <c r="C99" t="s">
        <v>70</v>
      </c>
      <c r="D99" t="s">
        <v>64</v>
      </c>
      <c r="E99" t="s">
        <v>31</v>
      </c>
      <c r="F99" t="s">
        <v>134</v>
      </c>
      <c r="G99" t="s">
        <v>24</v>
      </c>
      <c r="H99" t="s">
        <v>72</v>
      </c>
      <c r="I99">
        <v>10</v>
      </c>
      <c r="J99">
        <v>2</v>
      </c>
      <c r="K99">
        <v>20</v>
      </c>
      <c r="L99">
        <v>10</v>
      </c>
      <c r="M99">
        <v>16</v>
      </c>
      <c r="N99">
        <v>1.25</v>
      </c>
      <c r="O99">
        <v>20474</v>
      </c>
      <c r="P99" t="s">
        <v>35</v>
      </c>
      <c r="Q99">
        <v>4</v>
      </c>
      <c r="R99" t="s">
        <v>36</v>
      </c>
    </row>
    <row r="100" spans="1:18" x14ac:dyDescent="0.2">
      <c r="A100" t="s">
        <v>203</v>
      </c>
      <c r="B100" t="s">
        <v>69</v>
      </c>
      <c r="C100" t="s">
        <v>39</v>
      </c>
      <c r="D100" t="s">
        <v>40</v>
      </c>
      <c r="E100" t="s">
        <v>22</v>
      </c>
      <c r="F100" t="s">
        <v>130</v>
      </c>
      <c r="G100" t="s">
        <v>33</v>
      </c>
      <c r="H100" t="s">
        <v>43</v>
      </c>
      <c r="I100">
        <v>10</v>
      </c>
      <c r="J100">
        <v>1</v>
      </c>
      <c r="K100">
        <v>14</v>
      </c>
      <c r="L100">
        <v>8</v>
      </c>
      <c r="M100">
        <v>17</v>
      </c>
      <c r="N100">
        <v>0.82</v>
      </c>
      <c r="O100">
        <v>75610</v>
      </c>
      <c r="P100" t="s">
        <v>35</v>
      </c>
      <c r="Q100">
        <v>3</v>
      </c>
      <c r="R100" t="s">
        <v>36</v>
      </c>
    </row>
    <row r="101" spans="1:18" x14ac:dyDescent="0.2">
      <c r="A101" t="s">
        <v>204</v>
      </c>
      <c r="B101" t="s">
        <v>61</v>
      </c>
      <c r="C101" t="s">
        <v>39</v>
      </c>
      <c r="D101" t="s">
        <v>30</v>
      </c>
      <c r="E101" t="s">
        <v>22</v>
      </c>
      <c r="F101" t="s">
        <v>138</v>
      </c>
      <c r="G101" t="s">
        <v>33</v>
      </c>
      <c r="H101" t="s">
        <v>25</v>
      </c>
      <c r="I101">
        <v>10</v>
      </c>
      <c r="J101">
        <v>3</v>
      </c>
      <c r="K101">
        <v>8</v>
      </c>
      <c r="L101">
        <v>8</v>
      </c>
      <c r="M101">
        <v>11</v>
      </c>
      <c r="N101">
        <v>0.73</v>
      </c>
      <c r="O101">
        <v>45436</v>
      </c>
      <c r="P101" t="s">
        <v>35</v>
      </c>
      <c r="Q101">
        <v>5</v>
      </c>
      <c r="R10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"/>
  <sheetData>
    <row r="1" spans="1:2" x14ac:dyDescent="0.2">
      <c r="A1" t="s">
        <v>205</v>
      </c>
      <c r="B1">
        <f>COUNTA('Raw Data'!A2:A101)</f>
        <v>100</v>
      </c>
    </row>
    <row r="2" spans="1:2" x14ac:dyDescent="0.2">
      <c r="A2" t="s">
        <v>206</v>
      </c>
      <c r="B2">
        <f>AVERAGE('Raw Data'!L2:L101)</f>
        <v>5.34</v>
      </c>
    </row>
    <row r="3" spans="1:2" x14ac:dyDescent="0.2">
      <c r="A3" t="s">
        <v>207</v>
      </c>
      <c r="B3">
        <f>SUM('Raw Data'!K2:K101)</f>
        <v>1170</v>
      </c>
    </row>
    <row r="4" spans="1:2" x14ac:dyDescent="0.2">
      <c r="A4" t="s">
        <v>208</v>
      </c>
      <c r="B4">
        <f>AVERAGE('Raw Data'!N2:N101)</f>
        <v>0.82149999999999979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KPI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2026-04-14T02:22:04Z</dcterms:created>
  <dcterms:modified xsi:type="dcterms:W3CDTF">2026-04-14T02:22:04Z</dcterms:modified>
</cp:coreProperties>
</file>